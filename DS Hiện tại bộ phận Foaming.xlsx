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43" documentId="13_ncr:1_{E7AC9B5B-8808-463F-A1B6-5E43E5806A92}" xr6:coauthVersionLast="47" xr6:coauthVersionMax="47" xr10:uidLastSave="{915D4DC6-EECB-4F11-9A8A-EA77DC514E23}"/>
  <bookViews>
    <workbookView xWindow="-110" yWindow="-110" windowWidth="19420" windowHeight="11500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<sst xmlns="http://schemas.openxmlformats.org/spreadsheetml/2006/main" count="861" uniqueCount="316">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</sst>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2" fontId="8" fillId="5" borderId="1" xfId="3" applyNumberFormat="1" applyFont="1" applyFill="1" applyBorder="1" applyAlignment="1">
      <alignment horizontal="left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>
    <tabColor rgb="FFFF0000"/>
  </sheetPr>
  <dimension ref="A1:K142"/>
  <sheetViews>
    <sheetView tabSelected="1" topLeftCell="C1" zoomScale="70" zoomScaleNormal="70" workbookViewId="0">
      <pane xSplit="5" ySplit="21" topLeftCell="H107" activePane="bottomRight" state="frozen"/>
      <selection pane="topRight" activeCell="H1" sqref="H1"/>
      <selection pane="bottomLeft" activeCell="C22" sqref="C22"/>
      <selection pane="bottomRight" activeCell="E112" sqref="E112:H112"/>
    </sheetView>
  </sheetViews>
  <sheetFormatPr defaultColWidth="9.08984375" defaultRowHeight="14.5" x14ac:dyDescent="0.35"/>
  <cols>
    <col min="1" max="1" width="27.6328125" hidden="1" customWidth="1"/>
    <col min="2" max="2" width="15.54296875" hidden="1" customWidth="1"/>
    <col min="3" max="3" width="7" customWidth="1"/>
    <col min="4" max="4" width="10.453125" customWidth="1"/>
    <col min="5" max="5" width="15.6328125" customWidth="1"/>
    <col min="6" max="6" width="27.6328125" bestFit="1" customWidth="1"/>
    <col min="7" max="7" width="17.54296875" style="43" customWidth="1"/>
    <col min="8" max="8" width="27.54296875" style="43" customWidth="1"/>
    <col min="9" max="9" width="19.54296875" style="43" customWidth="1"/>
    <col min="10" max="10" width="18.453125" customWidth="1"/>
    <col min="11" max="11" width="31.453125" bestFit="1" customWidth="1"/>
  </cols>
  <sheetData>
    <row r="1" spans="3:9" s="1" customFormat="1" ht="32.25" customHeight="1" x14ac:dyDescent="0.4">
      <c r="E1" s="2"/>
      <c r="F1" s="3"/>
      <c r="G1" s="3"/>
      <c r="H1" s="3"/>
      <c r="I1" s="3"/>
    </row>
    <row r="2" spans="3:9" s="1" customFormat="1" ht="19" x14ac:dyDescent="0.4">
      <c r="E2" s="2"/>
      <c r="F2" s="2"/>
      <c r="G2" s="4"/>
      <c r="H2" s="3"/>
      <c r="I2" s="4"/>
    </row>
    <row r="3" spans="3:9" s="7" customFormat="1" ht="12" hidden="1" customHeight="1" x14ac:dyDescent="0.35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5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5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5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5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5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5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5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5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5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5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5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5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5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5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5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5">
      <c r="F19" s="14"/>
      <c r="G19" s="15"/>
      <c r="H19" s="16"/>
      <c r="I19" s="16"/>
      <c r="J19" s="17"/>
    </row>
    <row r="20" spans="1:11" s="19" customFormat="1" ht="27.75" customHeight="1" x14ac:dyDescent="0.35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5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customHeight="1" x14ac:dyDescent="0.35">
      <c r="A22" s="18" t="e">
        <v>#N/A</v>
      </c>
      <c r="B22" s="18" t="s">
        <v>92</v>
      </c>
      <c r="C22" s="29">
        <f>IF(E22&lt;&gt;"",SUBTOTAL(103,E$22:E22),"")</f>
        <v>1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customHeight="1" x14ac:dyDescent="0.35">
      <c r="A23"/>
      <c r="B23"/>
      <c r="C23" s="29">
        <f>IF(E23&lt;&gt;"",SUBTOTAL(103,E$22:E23),"")</f>
        <v>2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customHeight="1" x14ac:dyDescent="0.35">
      <c r="A24" s="18" t="e">
        <v>#N/A</v>
      </c>
      <c r="B24" s="18" t="s">
        <v>51</v>
      </c>
      <c r="C24" s="29">
        <f>IF(E24&lt;&gt;"",SUBTOTAL(103,E$22:E24),"")</f>
        <v>3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customHeight="1" x14ac:dyDescent="0.35">
      <c r="A25" s="18" t="e">
        <v>#N/A</v>
      </c>
      <c r="B25" s="18" t="s">
        <v>54</v>
      </c>
      <c r="C25" s="29">
        <f>IF(E25&lt;&gt;"",SUBTOTAL(103,E$22:E25),"")</f>
        <v>4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customHeight="1" x14ac:dyDescent="0.35">
      <c r="A26" s="18" t="e">
        <v>#N/A</v>
      </c>
      <c r="B26" s="18" t="s">
        <v>86</v>
      </c>
      <c r="C26" s="29">
        <f>IF(E26&lt;&gt;"",SUBTOTAL(103,E$22:E26),"")</f>
        <v>5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customHeight="1" x14ac:dyDescent="0.35">
      <c r="A27" s="18" t="s">
        <v>59</v>
      </c>
      <c r="B27" s="18" t="e">
        <v>#N/A</v>
      </c>
      <c r="C27" s="29">
        <v>1</v>
      </c>
      <c r="D27" s="30" t="s">
        <v>60</v>
      </c>
      <c r="E27" s="31" t="s">
        <v>61</v>
      </c>
      <c r="F27" s="32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customHeight="1" x14ac:dyDescent="0.35">
      <c r="A28" s="18" t="e">
        <v>#N/A</v>
      </c>
      <c r="B28" s="18" t="e">
        <v>#N/A</v>
      </c>
      <c r="C28" s="29">
        <f>IF(E28&lt;&gt;"",SUBTOTAL(103,E$22:E28),"")</f>
        <v>7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customHeight="1" x14ac:dyDescent="0.35">
      <c r="A29" s="18" t="e">
        <v>#N/A</v>
      </c>
      <c r="B29" s="18" t="s">
        <v>134</v>
      </c>
      <c r="C29" s="29">
        <f>IF(E29&lt;&gt;"",SUBTOTAL(103,E$22:E29),"")</f>
        <v>8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customHeight="1" x14ac:dyDescent="0.35">
      <c r="A30" s="18" t="s">
        <v>182</v>
      </c>
      <c r="B30" s="18" t="e">
        <v>#N/A</v>
      </c>
      <c r="C30" s="29">
        <f>IF(E30&lt;&gt;"",SUBTOTAL(103,E$22:E30),"")</f>
        <v>9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customHeight="1" x14ac:dyDescent="0.35">
      <c r="A31" s="18" t="e">
        <v>#N/A</v>
      </c>
      <c r="B31" s="18" t="s">
        <v>69</v>
      </c>
      <c r="C31" s="29">
        <f>IF(E31&lt;&gt;"",SUBTOTAL(103,E$22:E31),"")</f>
        <v>10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customHeight="1" x14ac:dyDescent="0.35">
      <c r="A32" s="18" t="e">
        <v>#N/A</v>
      </c>
      <c r="B32" s="18" t="s">
        <v>71</v>
      </c>
      <c r="C32" s="29">
        <f>IF(E32&lt;&gt;"",SUBTOTAL(103,E$22:E32),"")</f>
        <v>11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5">
      <c r="A33" s="18" t="e">
        <v>#N/A</v>
      </c>
      <c r="B33" s="18" t="s">
        <v>43</v>
      </c>
      <c r="C33" s="29">
        <f>IF(E33&lt;&gt;"",SUBTOTAL(103,E$22:E33),"")</f>
        <v>12</v>
      </c>
      <c r="D33" s="30" t="s">
        <v>44</v>
      </c>
      <c r="E33" s="31" t="s">
        <v>45</v>
      </c>
      <c r="F33" s="32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customHeight="1" x14ac:dyDescent="0.35">
      <c r="A34" s="18" t="e">
        <v>#N/A</v>
      </c>
      <c r="B34" s="18" t="s">
        <v>76</v>
      </c>
      <c r="C34" s="29">
        <f>IF(E34&lt;&gt;"",SUBTOTAL(103,E$22:E34),"")</f>
        <v>13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customHeight="1" x14ac:dyDescent="0.35">
      <c r="A35" s="18" t="e">
        <v>#N/A</v>
      </c>
      <c r="B35" s="18" t="s">
        <v>80</v>
      </c>
      <c r="C35" s="29">
        <f>IF(E35&lt;&gt;"",SUBTOTAL(103,E$22:E35),"")</f>
        <v>14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customHeight="1" x14ac:dyDescent="0.35">
      <c r="A36" s="18" t="e">
        <v>#N/A</v>
      </c>
      <c r="B36" s="18" t="s">
        <v>78</v>
      </c>
      <c r="C36" s="29">
        <f>IF(E36&lt;&gt;"",SUBTOTAL(103,E$22:E36),"")</f>
        <v>15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customHeight="1" x14ac:dyDescent="0.35">
      <c r="A37" s="18" t="e">
        <v>#N/A</v>
      </c>
      <c r="B37" s="18" t="s">
        <v>84</v>
      </c>
      <c r="C37" s="29">
        <f>IF(E37&lt;&gt;"",SUBTOTAL(103,E$22:E37),"")</f>
        <v>16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customHeight="1" x14ac:dyDescent="0.35">
      <c r="A38" s="18" t="s">
        <v>119</v>
      </c>
      <c r="B38" s="18" t="e">
        <v>#N/A</v>
      </c>
      <c r="C38" s="29">
        <f>IF(E38&lt;&gt;"",SUBTOTAL(103,E$22:E38),"")</f>
        <v>17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customHeight="1" x14ac:dyDescent="0.35">
      <c r="A39" s="18" t="e">
        <v>#N/A</v>
      </c>
      <c r="B39" s="18" t="s">
        <v>89</v>
      </c>
      <c r="C39" s="29">
        <f>IF(E39&lt;&gt;"",SUBTOTAL(103,E$22:E39),"")</f>
        <v>18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customHeight="1" x14ac:dyDescent="0.35">
      <c r="A40" s="18" t="e">
        <v>#N/A</v>
      </c>
      <c r="B40" s="18" t="e">
        <v>#N/A</v>
      </c>
      <c r="C40" s="29">
        <f>IF(E40&lt;&gt;"",SUBTOTAL(103,E$22:E40),"")</f>
        <v>19</v>
      </c>
      <c r="D40" s="30" t="s">
        <v>60</v>
      </c>
      <c r="E40" s="48" t="s">
        <v>136</v>
      </c>
      <c r="F40" s="49" t="s">
        <v>137</v>
      </c>
      <c r="G40" s="33" t="s">
        <v>46</v>
      </c>
      <c r="H40" s="33" t="s">
        <v>62</v>
      </c>
      <c r="I40" s="34" t="s">
        <v>58</v>
      </c>
      <c r="J40" s="35">
        <f>+IFERROR(VLOOKUP(E40,[1]Sheet1!C:H,6,0),"")</f>
        <v>44312</v>
      </c>
      <c r="K40" s="45"/>
    </row>
    <row r="41" spans="1:11" s="36" customFormat="1" ht="30.9" customHeight="1" x14ac:dyDescent="0.35">
      <c r="A41" s="18" t="e">
        <v>#N/A</v>
      </c>
      <c r="B41" s="18" t="s">
        <v>161</v>
      </c>
      <c r="C41" s="29">
        <f>IF(E41&lt;&gt;"",SUBTOTAL(103,E$22:E41),"")</f>
        <v>20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customHeight="1" x14ac:dyDescent="0.35">
      <c r="A42" s="18" t="e">
        <v>#N/A</v>
      </c>
      <c r="B42" s="18" t="e">
        <v>#N/A</v>
      </c>
      <c r="C42" s="29">
        <f>IF(E42&lt;&gt;"",SUBTOTAL(103,E$22:E42),"")</f>
        <v>21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customHeight="1" x14ac:dyDescent="0.35">
      <c r="A43" s="18" t="e">
        <v>#N/A</v>
      </c>
      <c r="B43" s="18" t="s">
        <v>99</v>
      </c>
      <c r="C43" s="29">
        <f>IF(E43&lt;&gt;"",SUBTOTAL(103,E$22:E43),"")</f>
        <v>22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customHeight="1" x14ac:dyDescent="0.35">
      <c r="A44" s="18" t="e">
        <v>#N/A</v>
      </c>
      <c r="B44" s="18" t="s">
        <v>165</v>
      </c>
      <c r="C44" s="29">
        <f>IF(E44&lt;&gt;"",SUBTOTAL(103,E$22:E44),"")</f>
        <v>23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customHeight="1" x14ac:dyDescent="0.35">
      <c r="A45" s="18" t="e">
        <v>#N/A</v>
      </c>
      <c r="B45" s="18" t="s">
        <v>171</v>
      </c>
      <c r="C45" s="29">
        <f>IF(E45&lt;&gt;"",SUBTOTAL(103,E$22:E45),"")</f>
        <v>24</v>
      </c>
      <c r="D45" s="30" t="s">
        <v>60</v>
      </c>
      <c r="E45" s="48" t="s">
        <v>172</v>
      </c>
      <c r="F45" s="50" t="s">
        <v>171</v>
      </c>
      <c r="G45" s="33" t="s">
        <v>46</v>
      </c>
      <c r="H45" s="33" t="s">
        <v>62</v>
      </c>
      <c r="I45" s="34" t="s">
        <v>58</v>
      </c>
      <c r="J45" s="35">
        <f>+IFERROR(VLOOKUP(E45,[1]Sheet1!C:H,6,0),"")</f>
        <v>44707</v>
      </c>
      <c r="K45" s="45"/>
    </row>
    <row r="46" spans="1:11" s="36" customFormat="1" ht="30.9" customHeight="1" x14ac:dyDescent="0.35">
      <c r="A46" s="18" t="s">
        <v>67</v>
      </c>
      <c r="B46" s="18" t="e">
        <v>#N/A</v>
      </c>
      <c r="C46" s="29">
        <f>IF(E46&lt;&gt;"",SUBTOTAL(103,E$22:E46),"")</f>
        <v>25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customHeight="1" x14ac:dyDescent="0.35">
      <c r="A47" s="18" t="e">
        <v>#N/A</v>
      </c>
      <c r="B47" s="18" t="s">
        <v>107</v>
      </c>
      <c r="C47" s="29">
        <f>IF(E47&lt;&gt;"",SUBTOTAL(103,E$22:E47),"")</f>
        <v>26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customHeight="1" x14ac:dyDescent="0.35">
      <c r="A48" s="18" t="e">
        <v>#N/A</v>
      </c>
      <c r="B48" s="18" t="s">
        <v>115</v>
      </c>
      <c r="C48" s="29">
        <f>IF(E48&lt;&gt;"",SUBTOTAL(103,E$22:E48),"")</f>
        <v>27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customHeight="1" x14ac:dyDescent="0.35">
      <c r="A49" s="18" t="s">
        <v>111</v>
      </c>
      <c r="B49" s="18" t="e">
        <v>#N/A</v>
      </c>
      <c r="C49" s="29">
        <f>IF(E49&lt;&gt;"",SUBTOTAL(103,E$22:E49),"")</f>
        <v>28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customHeight="1" x14ac:dyDescent="0.35">
      <c r="A50" s="18" t="e">
        <v>#N/A</v>
      </c>
      <c r="B50" s="18" t="s">
        <v>113</v>
      </c>
      <c r="C50" s="29">
        <f>IF(E50&lt;&gt;"",SUBTOTAL(103,E$22:E50),"")</f>
        <v>29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customHeight="1" x14ac:dyDescent="0.35">
      <c r="A51" s="18" t="e">
        <v>#N/A</v>
      </c>
      <c r="B51" s="18" t="e">
        <v>#N/A</v>
      </c>
      <c r="C51" s="29">
        <f>IF(E51&lt;&gt;"",SUBTOTAL(103,E$22:E51),"")</f>
        <v>30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customHeight="1" x14ac:dyDescent="0.35">
      <c r="A52" s="18" t="e">
        <v>#N/A</v>
      </c>
      <c r="B52" s="18" t="s">
        <v>117</v>
      </c>
      <c r="C52" s="29">
        <f>IF(E52&lt;&gt;"",SUBTOTAL(103,E$22:E52),"")</f>
        <v>31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customHeight="1" x14ac:dyDescent="0.35">
      <c r="A53" s="18" t="e">
        <v>#N/A</v>
      </c>
      <c r="B53" s="18" t="s">
        <v>147</v>
      </c>
      <c r="C53" s="29">
        <f>IF(E53&lt;&gt;"",SUBTOTAL(103,E$22:E53),"")</f>
        <v>32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customHeight="1" x14ac:dyDescent="0.35">
      <c r="A54" s="18" t="e">
        <v>#N/A</v>
      </c>
      <c r="B54" s="18" t="e">
        <v>#N/A</v>
      </c>
      <c r="C54" s="29">
        <f>IF(E54&lt;&gt;"",SUBTOTAL(103,E$22:E54),"")</f>
        <v>33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customHeight="1" x14ac:dyDescent="0.35">
      <c r="A55" s="18" t="e">
        <v>#N/A</v>
      </c>
      <c r="B55" s="18" t="s">
        <v>155</v>
      </c>
      <c r="C55" s="29">
        <f>IF(E55&lt;&gt;"",SUBTOTAL(103,E$22:E55),"")</f>
        <v>34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customHeight="1" x14ac:dyDescent="0.35">
      <c r="A56" s="18" t="e">
        <v>#N/A</v>
      </c>
      <c r="B56" s="18" t="s">
        <v>126</v>
      </c>
      <c r="C56" s="29">
        <f>IF(E56&lt;&gt;"",SUBTOTAL(103,E$22:E56),"")</f>
        <v>35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customHeight="1" x14ac:dyDescent="0.35">
      <c r="A57" s="18" t="s">
        <v>157</v>
      </c>
      <c r="B57" s="18" t="e">
        <v>#N/A</v>
      </c>
      <c r="C57" s="29">
        <f>IF(E57&lt;&gt;"",SUBTOTAL(103,E$22:E57),"")</f>
        <v>36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customHeight="1" x14ac:dyDescent="0.35">
      <c r="A58" s="18" t="e">
        <v>#N/A</v>
      </c>
      <c r="B58" s="18" t="s">
        <v>130</v>
      </c>
      <c r="C58" s="29">
        <f>IF(E58&lt;&gt;"",SUBTOTAL(103,E$22:E58),"")</f>
        <v>37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customHeight="1" x14ac:dyDescent="0.35">
      <c r="A59" s="18" t="e">
        <v>#N/A</v>
      </c>
      <c r="B59" s="18" t="s">
        <v>132</v>
      </c>
      <c r="C59" s="29">
        <f>IF(E59&lt;&gt;"",SUBTOTAL(103,E$22:E59),"")</f>
        <v>38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customHeight="1" x14ac:dyDescent="0.35">
      <c r="A60" s="18" t="s">
        <v>200</v>
      </c>
      <c r="B60" s="18" t="e">
        <v>#N/A</v>
      </c>
      <c r="C60" s="29">
        <f>IF(E60&lt;&gt;"",SUBTOTAL(103,E$22:E60),"")</f>
        <v>39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customHeight="1" x14ac:dyDescent="0.35">
      <c r="A61"/>
      <c r="B61"/>
      <c r="C61" s="29">
        <f>IF(E61&lt;&gt;"",SUBTOTAL(103,E$22:E61),"")</f>
        <v>40</v>
      </c>
      <c r="D61" s="30" t="s">
        <v>44</v>
      </c>
      <c r="E61" s="31" t="s">
        <v>259</v>
      </c>
      <c r="F61" s="32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customHeight="1" x14ac:dyDescent="0.35">
      <c r="A62" s="18" t="s">
        <v>138</v>
      </c>
      <c r="B62" s="18" t="e">
        <v>#N/A</v>
      </c>
      <c r="C62" s="29">
        <f>IF(E62&lt;&gt;"",SUBTOTAL(103,E$22:E62),"")</f>
        <v>41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customHeight="1" x14ac:dyDescent="0.35">
      <c r="A63" s="18" t="e">
        <v>#N/A</v>
      </c>
      <c r="B63" s="18" t="s">
        <v>140</v>
      </c>
      <c r="C63" s="29">
        <f>IF(E63&lt;&gt;"",SUBTOTAL(103,E$22:E63),"")</f>
        <v>42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customHeight="1" x14ac:dyDescent="0.35">
      <c r="A64" s="18" t="e">
        <v>#N/A</v>
      </c>
      <c r="B64" s="18" t="s">
        <v>143</v>
      </c>
      <c r="C64" s="29">
        <f>IF(E64&lt;&gt;"",SUBTOTAL(103,E$22:E64),"")</f>
        <v>43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customHeight="1" x14ac:dyDescent="0.35">
      <c r="A65" s="18" t="s">
        <v>145</v>
      </c>
      <c r="B65" s="18" t="e">
        <v>#N/A</v>
      </c>
      <c r="C65" s="29">
        <f>IF(E65&lt;&gt;"",SUBTOTAL(103,E$22:E65),"")</f>
        <v>44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customHeight="1" x14ac:dyDescent="0.35">
      <c r="A66" s="18" t="e">
        <v>#N/A</v>
      </c>
      <c r="B66" s="18" t="s">
        <v>48</v>
      </c>
      <c r="C66" s="29">
        <f>IF(E66&lt;&gt;"",SUBTOTAL(103,E$22:E66),"")</f>
        <v>45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customHeight="1" x14ac:dyDescent="0.35">
      <c r="A67" s="18" t="e">
        <v>#N/A</v>
      </c>
      <c r="B67" s="18" t="s">
        <v>149</v>
      </c>
      <c r="C67" s="29">
        <f>IF(E67&lt;&gt;"",SUBTOTAL(103,E$22:E67),"")</f>
        <v>46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customHeight="1" x14ac:dyDescent="0.35">
      <c r="A68" s="18" t="s">
        <v>151</v>
      </c>
      <c r="B68" s="18" t="e">
        <v>#N/A</v>
      </c>
      <c r="C68" s="29">
        <f>IF(E68&lt;&gt;"",SUBTOTAL(103,E$22:E68),"")</f>
        <v>47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customHeight="1" x14ac:dyDescent="0.35">
      <c r="A69" s="18" t="e">
        <v>#N/A</v>
      </c>
      <c r="B69" s="18" t="s">
        <v>153</v>
      </c>
      <c r="C69" s="29">
        <f>IF(E69&lt;&gt;"",SUBTOTAL(103,E$22:E69),"")</f>
        <v>48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customHeight="1" x14ac:dyDescent="0.35">
      <c r="A70" s="18" t="s">
        <v>56</v>
      </c>
      <c r="B70" s="18" t="e">
        <v>#N/A</v>
      </c>
      <c r="C70" s="29">
        <f>IF(E70&lt;&gt;"",SUBTOTAL(103,E$22:E70),"")</f>
        <v>49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customHeight="1" x14ac:dyDescent="0.35">
      <c r="A71" s="18" t="s">
        <v>63</v>
      </c>
      <c r="B71" s="18" t="e">
        <v>#N/A</v>
      </c>
      <c r="C71" s="29">
        <f>IF(E71&lt;&gt;"",SUBTOTAL(103,E$22:E71),"")</f>
        <v>50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customHeight="1" x14ac:dyDescent="0.35">
      <c r="A72" s="18" t="s">
        <v>65</v>
      </c>
      <c r="B72" s="18" t="e">
        <v>#N/A</v>
      </c>
      <c r="C72" s="29">
        <f>IF(E72&lt;&gt;"",SUBTOTAL(103,E$22:E72),"")</f>
        <v>51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customHeight="1" x14ac:dyDescent="0.35">
      <c r="A73" s="18" t="e">
        <v>#N/A</v>
      </c>
      <c r="B73" s="18" t="s">
        <v>82</v>
      </c>
      <c r="C73" s="29">
        <f>IF(E73&lt;&gt;"",SUBTOTAL(103,E$22:E73),"")</f>
        <v>52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customHeight="1" x14ac:dyDescent="0.35">
      <c r="A74" s="18" t="e">
        <v>#N/A</v>
      </c>
      <c r="B74" s="18" t="s">
        <v>95</v>
      </c>
      <c r="C74" s="29">
        <f>IF(E74&lt;&gt;"",SUBTOTAL(103,E$22:E74),"")</f>
        <v>53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customHeight="1" x14ac:dyDescent="0.35">
      <c r="A75" s="18" t="e">
        <v>#N/A</v>
      </c>
      <c r="B75" s="18" t="s">
        <v>101</v>
      </c>
      <c r="C75" s="29">
        <f>IF(E75&lt;&gt;"",SUBTOTAL(103,E$22:E75),"")</f>
        <v>54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customHeight="1" x14ac:dyDescent="0.35">
      <c r="A76" s="18" t="s">
        <v>167</v>
      </c>
      <c r="B76" s="18" t="e">
        <v>#N/A</v>
      </c>
      <c r="C76" s="29">
        <f>IF(E76&lt;&gt;"",SUBTOTAL(103,E$22:E76),"")</f>
        <v>55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customHeight="1" x14ac:dyDescent="0.35">
      <c r="A77" s="18" t="e">
        <v>#N/A</v>
      </c>
      <c r="B77" s="18" t="s">
        <v>169</v>
      </c>
      <c r="C77" s="29">
        <f>IF(E77&lt;&gt;"",SUBTOTAL(103,E$22:E77),"")</f>
        <v>56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customHeight="1" x14ac:dyDescent="0.35">
      <c r="A78" s="18" t="s">
        <v>105</v>
      </c>
      <c r="B78" s="18" t="e">
        <v>#N/A</v>
      </c>
      <c r="C78" s="29">
        <f>IF(E78&lt;&gt;"",SUBTOTAL(103,E$22:E78),"")</f>
        <v>57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customHeight="1" x14ac:dyDescent="0.35">
      <c r="A79" s="18" t="s">
        <v>173</v>
      </c>
      <c r="B79" s="18" t="e">
        <v>#N/A</v>
      </c>
      <c r="C79" s="29">
        <f>IF(E79&lt;&gt;"",SUBTOTAL(103,E$22:E79),"")</f>
        <v>58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customHeight="1" x14ac:dyDescent="0.35">
      <c r="A80" s="18" t="e">
        <v>#N/A</v>
      </c>
      <c r="B80" s="18" t="s">
        <v>175</v>
      </c>
      <c r="C80" s="29">
        <f>IF(E80&lt;&gt;"",SUBTOTAL(103,E$22:E80),"")</f>
        <v>59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customHeight="1" x14ac:dyDescent="0.35">
      <c r="A81" s="18" t="e">
        <v>#N/A</v>
      </c>
      <c r="B81" s="18" t="s">
        <v>177</v>
      </c>
      <c r="C81" s="29">
        <f>IF(E81&lt;&gt;"",SUBTOTAL(103,E$22:E81),"")</f>
        <v>60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customHeight="1" x14ac:dyDescent="0.35">
      <c r="A82" s="18" t="e">
        <v>#N/A</v>
      </c>
      <c r="B82" s="18" t="s">
        <v>180</v>
      </c>
      <c r="C82" s="29">
        <f>IF(E82&lt;&gt;"",SUBTOTAL(103,E$22:E82),"")</f>
        <v>61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customHeight="1" x14ac:dyDescent="0.35">
      <c r="A83" s="18" t="e">
        <v>#N/A</v>
      </c>
      <c r="B83" s="18" t="s">
        <v>109</v>
      </c>
      <c r="C83" s="29">
        <f>IF(E83&lt;&gt;"",SUBTOTAL(103,E$22:E83),"")</f>
        <v>62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customHeight="1" x14ac:dyDescent="0.35">
      <c r="A84" s="18" t="e">
        <v>#N/A</v>
      </c>
      <c r="B84" s="18" t="s">
        <v>184</v>
      </c>
      <c r="C84" s="29">
        <f>IF(E84&lt;&gt;"",SUBTOTAL(103,E$22:E84),"")</f>
        <v>63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customHeight="1" x14ac:dyDescent="0.35">
      <c r="A85" s="18" t="e">
        <v>#N/A</v>
      </c>
      <c r="B85" s="18" t="s">
        <v>186</v>
      </c>
      <c r="C85" s="29">
        <f>IF(E85&lt;&gt;"",SUBTOTAL(103,E$22:E85),"")</f>
        <v>64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customHeight="1" x14ac:dyDescent="0.35">
      <c r="A86" s="18" t="e">
        <v>#N/A</v>
      </c>
      <c r="B86" s="18" t="s">
        <v>189</v>
      </c>
      <c r="C86" s="29">
        <f>IF(E86&lt;&gt;"",SUBTOTAL(103,E$22:E86),"")</f>
        <v>65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customHeight="1" x14ac:dyDescent="0.35">
      <c r="A87" s="18" t="e">
        <v>#N/A</v>
      </c>
      <c r="B87" s="18" t="s">
        <v>191</v>
      </c>
      <c r="C87" s="29">
        <f>IF(E87&lt;&gt;"",SUBTOTAL(103,E$22:E87),"")</f>
        <v>66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customHeight="1" x14ac:dyDescent="0.35">
      <c r="A88" s="18" t="s">
        <v>194</v>
      </c>
      <c r="B88" s="18" t="e">
        <v>#N/A</v>
      </c>
      <c r="C88" s="29">
        <f>IF(E88&lt;&gt;"",SUBTOTAL(103,E$22:E88),"")</f>
        <v>67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customHeight="1" x14ac:dyDescent="0.35">
      <c r="A89" s="18" t="e">
        <v>#N/A</v>
      </c>
      <c r="B89" s="18" t="s">
        <v>196</v>
      </c>
      <c r="C89" s="29">
        <f>IF(E89&lt;&gt;"",SUBTOTAL(103,E$22:E89),"")</f>
        <v>68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customHeight="1" x14ac:dyDescent="0.35">
      <c r="A90" s="18" t="e">
        <v>#N/A</v>
      </c>
      <c r="B90" s="18" t="s">
        <v>198</v>
      </c>
      <c r="C90" s="29">
        <f>IF(E90&lt;&gt;"",SUBTOTAL(103,E$22:E90),"")</f>
        <v>69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customHeight="1" x14ac:dyDescent="0.35">
      <c r="A91" s="18" t="e">
        <v>#N/A</v>
      </c>
      <c r="B91" s="18" t="s">
        <v>128</v>
      </c>
      <c r="C91" s="29">
        <f>IF(E91&lt;&gt;"",SUBTOTAL(103,E$22:E91),"")</f>
        <v>70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customHeight="1" x14ac:dyDescent="0.35">
      <c r="A92" s="18" t="e">
        <v>#N/A</v>
      </c>
      <c r="B92" s="18" t="s">
        <v>202</v>
      </c>
      <c r="C92" s="29">
        <f>IF(E92&lt;&gt;"",SUBTOTAL(103,E$22:E92),"")</f>
        <v>71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customHeight="1" x14ac:dyDescent="0.35">
      <c r="A93" s="18" t="s">
        <v>204</v>
      </c>
      <c r="B93" s="18" t="e">
        <v>#N/A</v>
      </c>
      <c r="C93" s="29">
        <f>IF(E93&lt;&gt;"",SUBTOTAL(103,E$22:E93),"")</f>
        <v>72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customHeight="1" x14ac:dyDescent="0.35">
      <c r="A94" s="18" t="e">
        <v>#N/A</v>
      </c>
      <c r="B94" s="18" t="s">
        <v>206</v>
      </c>
      <c r="C94" s="29">
        <f>IF(E94&lt;&gt;"",SUBTOTAL(103,E$22:E94),"")</f>
        <v>73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customHeight="1" x14ac:dyDescent="0.35">
      <c r="A95" s="18" t="e">
        <v>#N/A</v>
      </c>
      <c r="B95" s="18" t="s">
        <v>208</v>
      </c>
      <c r="C95" s="29">
        <f>IF(E95&lt;&gt;"",SUBTOTAL(103,E$22:E95),"")</f>
        <v>74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customHeight="1" x14ac:dyDescent="0.35">
      <c r="C96" s="29">
        <f>IF(E96&lt;&gt;"",SUBTOTAL(103,E$22:E96),"")</f>
        <v>75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customHeight="1" x14ac:dyDescent="0.35">
      <c r="C97" s="29">
        <f>IF(E97&lt;&gt;"",SUBTOTAL(103,E$22:E97),"")</f>
        <v>76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customHeight="1" x14ac:dyDescent="0.35">
      <c r="C98" s="29">
        <f>IF(E98&lt;&gt;"",SUBTOTAL(103,E$22:E98),"")</f>
        <v>77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customHeight="1" x14ac:dyDescent="0.35">
      <c r="C99" s="29">
        <f>IF(E99&lt;&gt;"",SUBTOTAL(103,E$22:E99),"")</f>
        <v>78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customHeight="1" x14ac:dyDescent="0.35">
      <c r="C100" s="29">
        <f>IF(E100&lt;&gt;"",SUBTOTAL(103,E$22:E100),"")</f>
        <v>79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customHeight="1" x14ac:dyDescent="0.35">
      <c r="C101" s="29">
        <f>IF(E101&lt;&gt;"",SUBTOTAL(103,E$22:E101),"")</f>
        <v>80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customHeight="1" x14ac:dyDescent="0.35">
      <c r="A102" s="18" t="e">
        <v>#N/A</v>
      </c>
      <c r="B102" s="18" t="s">
        <v>159</v>
      </c>
      <c r="C102" s="29">
        <f>IF(E102&lt;&gt;"",SUBTOTAL(103,E$22:E102),"")</f>
        <v>81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customHeight="1" x14ac:dyDescent="0.35">
      <c r="C103" s="29">
        <f>IF(E103&lt;&gt;"",SUBTOTAL(103,E$22:E103),"")</f>
        <v>82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customHeight="1" x14ac:dyDescent="0.35">
      <c r="C104" s="29">
        <f>IF(E104&lt;&gt;"",SUBTOTAL(103,E$22:E104),"")</f>
        <v>83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customHeight="1" x14ac:dyDescent="0.35">
      <c r="C105" s="29">
        <f>IF(E105&lt;&gt;"",SUBTOTAL(103,E$22:E105),"")</f>
        <v>84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customHeight="1" x14ac:dyDescent="0.35">
      <c r="C106" s="29">
        <f>IF(E106&lt;&gt;"",SUBTOTAL(103,E$22:E106),"")</f>
        <v>85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customHeight="1" x14ac:dyDescent="0.35">
      <c r="C107" s="29">
        <f>IF(E107&lt;&gt;"",SUBTOTAL(103,E$22:E107),"")</f>
        <v>86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customHeight="1" x14ac:dyDescent="0.35">
      <c r="C108" s="29">
        <f>IF(E108&lt;&gt;"",SUBTOTAL(103,E$22:E108),"")</f>
        <v>87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customHeight="1" x14ac:dyDescent="0.35">
      <c r="C109" s="29">
        <f>IF(E109&lt;&gt;"",SUBTOTAL(103,E$22:E109),"")</f>
        <v>88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customHeight="1" x14ac:dyDescent="0.35">
      <c r="C110" s="29">
        <f>IF(E110&lt;&gt;"",SUBTOTAL(103,E$22:E110),"")</f>
        <v>89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customHeight="1" x14ac:dyDescent="0.35">
      <c r="C111" s="29">
        <f>IF(E111&lt;&gt;"",SUBTOTAL(103,E$22:E111),"")</f>
        <v>90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customHeight="1" x14ac:dyDescent="0.35">
      <c r="C112" s="29">
        <f>IF(E112&lt;&gt;"",SUBTOTAL(103,E$22:E112),"")</f>
        <v>91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customHeight="1" x14ac:dyDescent="0.35">
      <c r="C113" s="29">
        <f>IF(E113&lt;&gt;"",SUBTOTAL(103,E$22:E113),"")</f>
        <v>92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customHeight="1" x14ac:dyDescent="0.35">
      <c r="C114" s="29">
        <f>IF(E114&lt;&gt;"",SUBTOTAL(103,E$22:E114),"")</f>
        <v>93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customHeight="1" x14ac:dyDescent="0.35">
      <c r="C115" s="29">
        <f>IF(E115&lt;&gt;"",SUBTOTAL(103,E$22:E115),"")</f>
        <v>94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customHeight="1" x14ac:dyDescent="0.35">
      <c r="C116" s="29">
        <f>IF(E116&lt;&gt;"",SUBTOTAL(103,E$22:E116),"")</f>
        <v>95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customHeight="1" x14ac:dyDescent="0.35">
      <c r="C117" s="29">
        <f>IF(E117&lt;&gt;"",SUBTOTAL(103,E$22:E117),"")</f>
        <v>96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customHeight="1" x14ac:dyDescent="0.35">
      <c r="C118" s="29">
        <f>IF(E118&lt;&gt;"",SUBTOTAL(103,E$22:E118),"")</f>
        <v>97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customHeight="1" x14ac:dyDescent="0.35">
      <c r="A119" s="18" t="s">
        <v>163</v>
      </c>
      <c r="B119" s="18" t="e">
        <v>#N/A</v>
      </c>
      <c r="C119" s="29">
        <f>IF(E119&lt;&gt;"",SUBTOTAL(103,E$22:E119),"")</f>
        <v>98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customHeight="1" x14ac:dyDescent="0.35">
      <c r="C120" s="29">
        <f>IF(E120&lt;&gt;"",SUBTOTAL(103,E$22:E120),"")</f>
        <v>99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customHeight="1" x14ac:dyDescent="0.35">
      <c r="C121" s="29">
        <f>IF(E121&lt;&gt;"",SUBTOTAL(103,E$22:E121),"")</f>
        <v>100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customHeight="1" x14ac:dyDescent="0.35">
      <c r="C122" s="29">
        <f>IF(E122&lt;&gt;"",SUBTOTAL(103,E$22:E122),"")</f>
        <v>101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customHeight="1" x14ac:dyDescent="0.35">
      <c r="C123" s="29">
        <f>IF(E123&lt;&gt;"",SUBTOTAL(103,E$22:E123),"")</f>
        <v>102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customHeight="1" x14ac:dyDescent="0.35">
      <c r="C124" s="29">
        <f>IF(E124&lt;&gt;"",SUBTOTAL(103,E$22:E124),"")</f>
        <v>103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customHeight="1" x14ac:dyDescent="0.35">
      <c r="C125" s="29">
        <f>IF(E125&lt;&gt;"",SUBTOTAL(103,E$22:E125),"")</f>
        <v>104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customHeight="1" x14ac:dyDescent="0.35">
      <c r="C126" s="29">
        <f>IF(E126&lt;&gt;"",SUBTOTAL(103,E$22:E126),"")</f>
        <v>105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customHeight="1" x14ac:dyDescent="0.35">
      <c r="C127" s="29">
        <f>IF(E127&lt;&gt;"",SUBTOTAL(103,E$22:E127),"")</f>
        <v>106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customHeight="1" x14ac:dyDescent="0.35">
      <c r="C128" s="29">
        <f>IF(E128&lt;&gt;"",SUBTOTAL(103,E$22:E128),"")</f>
        <v>107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customHeight="1" x14ac:dyDescent="0.35">
      <c r="C129" s="29">
        <f>IF(E129&lt;&gt;"",SUBTOTAL(103,E$22:E129),"")</f>
        <v>108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customHeight="1" x14ac:dyDescent="0.35">
      <c r="C130" s="42">
        <f>IF(E130&lt;&gt;"",SUBTOTAL(103,E$22:E130),"")</f>
        <v>109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customHeight="1" x14ac:dyDescent="0.35">
      <c r="C131" s="42">
        <f>IF(E131&lt;&gt;"",SUBTOTAL(103,E$22:E131),"")</f>
        <v>110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customHeight="1" x14ac:dyDescent="0.35">
      <c r="C132" s="42">
        <f>IF(E132&lt;&gt;"",SUBTOTAL(103,E$22:E132),"")</f>
        <v>111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customHeight="1" x14ac:dyDescent="0.35">
      <c r="C133" s="42">
        <f>IF(E133&lt;&gt;"",SUBTOTAL(103,E$22:E133),"")</f>
        <v>112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customHeight="1" x14ac:dyDescent="0.35">
      <c r="C134" s="42">
        <f>IF(E134&lt;&gt;"",SUBTOTAL(103,E$22:E134),"")</f>
        <v>113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customHeight="1" x14ac:dyDescent="0.35">
      <c r="C135" s="42">
        <f>IF(E135&lt;&gt;"",SUBTOTAL(103,E$22:E135),"")</f>
        <v>114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customHeight="1" x14ac:dyDescent="0.35">
      <c r="C136" s="42">
        <f>IF(E136&lt;&gt;"",SUBTOTAL(103,E$22:E136),"")</f>
        <v>115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customHeight="1" x14ac:dyDescent="0.35">
      <c r="C137" s="42">
        <f>IF(E137&lt;&gt;"",SUBTOTAL(103,E$22:E137),"")</f>
        <v>116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customHeight="1" x14ac:dyDescent="0.35">
      <c r="C138" s="42">
        <f>IF(E138&lt;&gt;"",SUBTOTAL(103,E$22:E138),"")</f>
        <v>117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customHeight="1" x14ac:dyDescent="0.35">
      <c r="C139" s="42">
        <f>IF(E139&lt;&gt;"",SUBTOTAL(103,E$22:E139),"")</f>
        <v>118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customHeight="1" x14ac:dyDescent="0.35">
      <c r="C140" s="42">
        <f>IF(E140&lt;&gt;"",SUBTOTAL(103,E$22:E140),"")</f>
        <v>119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customHeight="1" x14ac:dyDescent="0.35">
      <c r="C141" s="42">
        <f>IF(E141&lt;&gt;"",SUBTOTAL(103,E$22:E141),"")</f>
        <v>120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customHeight="1" x14ac:dyDescent="0.35">
      <c r="C142" s="42">
        <f>IF(E142&lt;&gt;"",SUBTOTAL(103,E$22:E142),"")</f>
        <v>121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</sheetData>
  <autoFilter ref="A21:K142" xr:uid="{C3D77B87-320E-4CAC-BE20-C9B51A590042}"/>
  <conditionalFormatting sqref="E1:E1048576">
    <cfRule type="duplicateValues" dxfId="0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Foaming</cp:lastModifiedBy>
  <dcterms:created xsi:type="dcterms:W3CDTF">2026-04-24T02:29:32Z</dcterms:created>
  <dcterms:modified xsi:type="dcterms:W3CDTF">2026-05-13T07:28:02Z</dcterms:modified>
</cp:coreProperties>
</file>