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0" documentId="13_ncr:1_{E7AC9B5B-8808-463F-A1B6-5E43E5806A92}" xr6:coauthVersionLast="47" xr6:coauthVersionMax="47" xr10:uidLastSave="{00000000-0000-0000-0000-000000000000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04.2026'!$A$21:$FL$142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119" i="1"/>
  <c r="C119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102" i="1"/>
  <c r="C102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91" i="1"/>
  <c r="C91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83" i="1"/>
  <c r="C83" i="1"/>
  <c r="J82" i="1"/>
  <c r="C82" i="1"/>
  <c r="J81" i="1"/>
  <c r="C81" i="1"/>
  <c r="J80" i="1"/>
  <c r="C80" i="1"/>
  <c r="J79" i="1"/>
  <c r="C79" i="1"/>
  <c r="J78" i="1"/>
  <c r="C78" i="1"/>
  <c r="J77" i="1"/>
  <c r="C77" i="1"/>
  <c r="J76" i="1"/>
  <c r="C76" i="1"/>
  <c r="J75" i="1"/>
  <c r="C75" i="1"/>
  <c r="J74" i="1"/>
  <c r="C74" i="1"/>
  <c r="J73" i="1"/>
  <c r="C73" i="1"/>
  <c r="J72" i="1"/>
  <c r="C72" i="1"/>
  <c r="J71" i="1"/>
  <c r="C71" i="1"/>
  <c r="J70" i="1"/>
  <c r="C70" i="1"/>
  <c r="J69" i="1"/>
  <c r="C69" i="1"/>
  <c r="J68" i="1"/>
  <c r="C68" i="1"/>
  <c r="J67" i="1"/>
  <c r="C67" i="1"/>
  <c r="J66" i="1"/>
  <c r="C66" i="1"/>
  <c r="J65" i="1"/>
  <c r="C65" i="1"/>
  <c r="J64" i="1"/>
  <c r="C64" i="1"/>
  <c r="J63" i="1"/>
  <c r="C63" i="1"/>
  <c r="J62" i="1"/>
  <c r="C62" i="1"/>
  <c r="J61" i="1"/>
  <c r="C61" i="1"/>
  <c r="J60" i="1"/>
  <c r="C60" i="1"/>
  <c r="J59" i="1"/>
  <c r="C59" i="1"/>
  <c r="J58" i="1"/>
  <c r="C58" i="1"/>
  <c r="J57" i="1"/>
  <c r="C57" i="1"/>
  <c r="J56" i="1"/>
  <c r="C56" i="1"/>
  <c r="J55" i="1"/>
  <c r="C55" i="1"/>
  <c r="J54" i="1"/>
  <c r="C54" i="1"/>
  <c r="J53" i="1"/>
  <c r="C53" i="1"/>
  <c r="J52" i="1"/>
  <c r="C52" i="1"/>
  <c r="J51" i="1"/>
  <c r="C51" i="1"/>
  <c r="J50" i="1"/>
  <c r="C50" i="1"/>
  <c r="J49" i="1"/>
  <c r="C49" i="1"/>
  <c r="J48" i="1"/>
  <c r="C48" i="1"/>
  <c r="J47" i="1"/>
  <c r="C47" i="1"/>
  <c r="J46" i="1"/>
  <c r="C46" i="1"/>
  <c r="J45" i="1"/>
  <c r="C45" i="1"/>
  <c r="J44" i="1"/>
  <c r="C44" i="1"/>
  <c r="J43" i="1"/>
  <c r="C43" i="1"/>
  <c r="J42" i="1"/>
  <c r="C42" i="1"/>
  <c r="J41" i="1"/>
  <c r="C41" i="1"/>
  <c r="J40" i="1"/>
  <c r="C40" i="1"/>
  <c r="J39" i="1"/>
  <c r="C39" i="1"/>
  <c r="J38" i="1"/>
  <c r="C38" i="1"/>
  <c r="J37" i="1"/>
  <c r="C37" i="1"/>
  <c r="J36" i="1"/>
  <c r="C36" i="1"/>
  <c r="J35" i="1"/>
  <c r="C35" i="1"/>
  <c r="J34" i="1"/>
  <c r="C34" i="1"/>
  <c r="J33" i="1"/>
  <c r="C33" i="1"/>
  <c r="J32" i="1"/>
  <c r="C32" i="1"/>
  <c r="J31" i="1"/>
  <c r="C31" i="1"/>
  <c r="J30" i="1"/>
  <c r="C30" i="1"/>
  <c r="J29" i="1"/>
  <c r="C29" i="1"/>
  <c r="J28" i="1"/>
  <c r="C28" i="1"/>
  <c r="J27" i="1"/>
  <c r="J26" i="1"/>
  <c r="C26" i="1"/>
  <c r="J25" i="1"/>
  <c r="C25" i="1"/>
  <c r="J24" i="1"/>
  <c r="C24" i="1"/>
  <c r="J23" i="1"/>
  <c r="C23" i="1"/>
  <c r="J22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<sst xmlns="http://schemas.openxmlformats.org/spreadsheetml/2006/main" count="861" uniqueCount="316">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</sst>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48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>
    <tabColor rgb="FFFF0000"/>
  </sheetPr>
  <dimension ref="A1:K142"/>
  <sheetViews>
    <sheetView tabSelected="1" topLeftCell="C1" zoomScale="85" zoomScaleNormal="85" workbookViewId="0">
      <pane xSplit="5" ySplit="21" topLeftCell="H22" activePane="bottomRight" state="frozen"/>
      <selection pane="topRight" activeCell="H1" sqref="H1"/>
      <selection pane="bottomLeft" activeCell="C22" sqref="C22"/>
      <selection pane="bottomRight" activeCell="E26" sqref="E26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3">
      <c r="A22" s="18" t="e">
        <v>#N/A</v>
      </c>
      <c r="B22" s="18" t="s">
        <v>43</v>
      </c>
      <c r="C22" s="29">
        <f>IF(E22&lt;&gt;"",SUBTOTAL(103,E$22:E22),"")</f>
        <v>1</v>
      </c>
      <c r="D22" s="30" t="s">
        <v>44</v>
      </c>
      <c r="E22" s="31" t="s">
        <v>45</v>
      </c>
      <c r="F22" s="32" t="s">
        <v>43</v>
      </c>
      <c r="G22" s="33" t="s">
        <v>46</v>
      </c>
      <c r="H22" s="33" t="s">
        <v>47</v>
      </c>
      <c r="I22" s="34" t="s">
        <v>50</v>
      </c>
      <c r="J22" s="35">
        <f>+IFERROR(VLOOKUP(E22,[1]Sheet1!C:H,6,0),"")</f>
        <v>44118</v>
      </c>
      <c r="K22" s="44"/>
    </row>
    <row r="23" spans="1:11" s="18" customFormat="1" ht="30.75" customHeight="1" x14ac:dyDescent="0.3">
      <c r="A23" s="18" t="e">
        <v>#N/A</v>
      </c>
      <c r="B23" s="18" t="s">
        <v>48</v>
      </c>
      <c r="C23" s="29">
        <f>IF(E23&lt;&gt;"",SUBTOTAL(103,E$22:E23),"")</f>
        <v>2</v>
      </c>
      <c r="D23" s="30" t="s">
        <v>44</v>
      </c>
      <c r="E23" s="37" t="s">
        <v>49</v>
      </c>
      <c r="F23" s="32" t="s">
        <v>48</v>
      </c>
      <c r="G23" s="33" t="s">
        <v>46</v>
      </c>
      <c r="H23" s="33" t="s">
        <v>47</v>
      </c>
      <c r="I23" s="34" t="s">
        <v>58</v>
      </c>
      <c r="J23" s="35">
        <f>+IFERROR(VLOOKUP(E23,[1]Sheet1!C:H,6,0),"")</f>
        <v>43040</v>
      </c>
      <c r="K23" s="44"/>
    </row>
    <row r="24" spans="1:11" s="18" customFormat="1" ht="27.75" customHeight="1" x14ac:dyDescent="0.3">
      <c r="A24" s="18" t="e">
        <v>#N/A</v>
      </c>
      <c r="B24" s="18" t="s">
        <v>51</v>
      </c>
      <c r="C24" s="29">
        <f>IF(E24&lt;&gt;"",SUBTOTAL(103,E$22:E24),"")</f>
        <v>3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customHeight="1" x14ac:dyDescent="0.3">
      <c r="A25" s="18" t="e">
        <v>#N/A</v>
      </c>
      <c r="B25" s="18" t="s">
        <v>54</v>
      </c>
      <c r="C25" s="29">
        <f>IF(E25&lt;&gt;"",SUBTOTAL(103,E$22:E25),"")</f>
        <v>4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customHeight="1" x14ac:dyDescent="0.3">
      <c r="A26" s="18" t="s">
        <v>56</v>
      </c>
      <c r="B26" s="18" t="e">
        <v>#N/A</v>
      </c>
      <c r="C26" s="29">
        <f>IF(E26&lt;&gt;"",SUBTOTAL(103,E$22:E26),"")</f>
        <v>5</v>
      </c>
      <c r="D26" s="30" t="s">
        <v>44</v>
      </c>
      <c r="E26" s="37" t="s">
        <v>57</v>
      </c>
      <c r="F26" s="32" t="s">
        <v>56</v>
      </c>
      <c r="G26" s="33" t="s">
        <v>46</v>
      </c>
      <c r="H26" s="33" t="s">
        <v>47</v>
      </c>
      <c r="I26" s="34" t="s">
        <v>58</v>
      </c>
      <c r="J26" s="35">
        <f>+IFERROR(VLOOKUP(E26,[1]Sheet1!C:H,6,0),"")</f>
        <v>43356</v>
      </c>
      <c r="K26" s="45"/>
    </row>
    <row r="27" spans="1:11" s="36" customFormat="1" ht="30.9" customHeight="1" x14ac:dyDescent="0.3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">
      <c r="A28" s="18" t="s">
        <v>63</v>
      </c>
      <c r="B28" s="18" t="e">
        <v>#N/A</v>
      </c>
      <c r="C28" s="29">
        <f>IF(E28&lt;&gt;"",SUBTOTAL(103,E$22:E28),"")</f>
        <v>7</v>
      </c>
      <c r="D28" s="30" t="s">
        <v>44</v>
      </c>
      <c r="E28" s="31" t="s">
        <v>64</v>
      </c>
      <c r="F28" s="32" t="s">
        <v>63</v>
      </c>
      <c r="G28" s="33" t="s">
        <v>46</v>
      </c>
      <c r="H28" s="33" t="s">
        <v>47</v>
      </c>
      <c r="I28" s="34" t="s">
        <v>58</v>
      </c>
      <c r="J28" s="35">
        <f>+IFERROR(VLOOKUP(E28,[1]Sheet1!C:H,6,0),"")</f>
        <v>43808</v>
      </c>
      <c r="K28" s="45"/>
    </row>
    <row r="29" spans="1:11" s="36" customFormat="1" ht="30.9" customHeight="1" x14ac:dyDescent="0.3">
      <c r="A29" s="18" t="s">
        <v>65</v>
      </c>
      <c r="B29" s="18" t="e">
        <v>#N/A</v>
      </c>
      <c r="C29" s="29">
        <f>IF(E29&lt;&gt;"",SUBTOTAL(103,E$22:E29),"")</f>
        <v>8</v>
      </c>
      <c r="D29" s="30" t="s">
        <v>44</v>
      </c>
      <c r="E29" s="31" t="s">
        <v>66</v>
      </c>
      <c r="F29" s="32" t="s">
        <v>65</v>
      </c>
      <c r="G29" s="33" t="s">
        <v>46</v>
      </c>
      <c r="H29" s="33" t="s">
        <v>47</v>
      </c>
      <c r="I29" s="34" t="s">
        <v>58</v>
      </c>
      <c r="J29" s="35">
        <f>+IFERROR(VLOOKUP(E29,[1]Sheet1!C:H,6,0),"")</f>
        <v>43803</v>
      </c>
      <c r="K29" s="45"/>
    </row>
    <row r="30" spans="1:11" s="36" customFormat="1" ht="30.9" customHeight="1" x14ac:dyDescent="0.3">
      <c r="A30" s="18" t="s">
        <v>67</v>
      </c>
      <c r="B30" s="18" t="e">
        <v>#N/A</v>
      </c>
      <c r="C30" s="29">
        <f>IF(E30&lt;&gt;"",SUBTOTAL(103,E$22:E30),"")</f>
        <v>9</v>
      </c>
      <c r="D30" s="30" t="s">
        <v>60</v>
      </c>
      <c r="E30" s="31" t="s">
        <v>68</v>
      </c>
      <c r="F30" s="32" t="s">
        <v>67</v>
      </c>
      <c r="G30" s="33" t="s">
        <v>46</v>
      </c>
      <c r="H30" s="33" t="s">
        <v>62</v>
      </c>
      <c r="I30" s="34" t="s">
        <v>58</v>
      </c>
      <c r="J30" s="35">
        <f>+IFERROR(VLOOKUP(E30,[1]Sheet1!C:H,6,0),"")</f>
        <v>43867</v>
      </c>
      <c r="K30" s="45"/>
    </row>
    <row r="31" spans="1:11" s="36" customFormat="1" ht="30.9" customHeight="1" x14ac:dyDescent="0.3">
      <c r="A31" s="18" t="e">
        <v>#N/A</v>
      </c>
      <c r="B31" s="18" t="s">
        <v>69</v>
      </c>
      <c r="C31" s="29">
        <f>IF(E31&lt;&gt;"",SUBTOTAL(103,E$22:E31),"")</f>
        <v>10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customHeight="1" x14ac:dyDescent="0.3">
      <c r="A32" s="18" t="e">
        <v>#N/A</v>
      </c>
      <c r="B32" s="18" t="s">
        <v>71</v>
      </c>
      <c r="C32" s="29">
        <f>IF(E32&lt;&gt;"",SUBTOTAL(103,E$22:E32),"")</f>
        <v>11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">
      <c r="A33" s="18" t="e">
        <v>#N/A</v>
      </c>
      <c r="B33" s="18" t="s">
        <v>76</v>
      </c>
      <c r="C33" s="29">
        <f>IF(E33&lt;&gt;"",SUBTOTAL(103,E$22:E33),"")</f>
        <v>12</v>
      </c>
      <c r="D33" s="30" t="s">
        <v>44</v>
      </c>
      <c r="E33" s="31" t="s">
        <v>77</v>
      </c>
      <c r="F33" s="32" t="s">
        <v>76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43867</v>
      </c>
      <c r="K33" s="45"/>
    </row>
    <row r="34" spans="1:11" s="36" customFormat="1" ht="30.9" customHeight="1" x14ac:dyDescent="0.3">
      <c r="A34" s="18" t="e">
        <v>#N/A</v>
      </c>
      <c r="B34" s="18" t="s">
        <v>78</v>
      </c>
      <c r="C34" s="29">
        <f>IF(E34&lt;&gt;"",SUBTOTAL(103,E$22:E34),"")</f>
        <v>13</v>
      </c>
      <c r="D34" s="30" t="s">
        <v>44</v>
      </c>
      <c r="E34" s="31" t="s">
        <v>79</v>
      </c>
      <c r="F34" s="32" t="s">
        <v>78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43871</v>
      </c>
      <c r="K34" s="45"/>
    </row>
    <row r="35" spans="1:11" s="36" customFormat="1" ht="30.9" customHeight="1" x14ac:dyDescent="0.3">
      <c r="A35" s="18" t="e">
        <v>#N/A</v>
      </c>
      <c r="B35" s="18" t="s">
        <v>80</v>
      </c>
      <c r="C35" s="29">
        <f>IF(E35&lt;&gt;"",SUBTOTAL(103,E$22:E35),"")</f>
        <v>14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">
      <c r="A36" s="18" t="e">
        <v>#N/A</v>
      </c>
      <c r="B36" s="18" t="s">
        <v>82</v>
      </c>
      <c r="C36" s="29">
        <f>IF(E36&lt;&gt;"",SUBTOTAL(103,E$22:E36),"")</f>
        <v>15</v>
      </c>
      <c r="D36" s="30" t="s">
        <v>44</v>
      </c>
      <c r="E36" s="38" t="s">
        <v>83</v>
      </c>
      <c r="F36" s="39" t="s">
        <v>82</v>
      </c>
      <c r="G36" s="33" t="s">
        <v>46</v>
      </c>
      <c r="H36" s="33" t="s">
        <v>47</v>
      </c>
      <c r="I36" s="34" t="s">
        <v>58</v>
      </c>
      <c r="J36" s="35">
        <f>+IFERROR(VLOOKUP(E36,[1]Sheet1!C:H,6,0),"")</f>
        <v>43875</v>
      </c>
      <c r="K36" s="45"/>
    </row>
    <row r="37" spans="1:11" s="36" customFormat="1" ht="30.9" customHeight="1" x14ac:dyDescent="0.3">
      <c r="A37" s="18" t="e">
        <v>#N/A</v>
      </c>
      <c r="B37" s="18" t="s">
        <v>84</v>
      </c>
      <c r="C37" s="29">
        <f>IF(E37&lt;&gt;"",SUBTOTAL(103,E$22:E37),"")</f>
        <v>16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customHeight="1" x14ac:dyDescent="0.3">
      <c r="A38" s="18" t="e">
        <v>#N/A</v>
      </c>
      <c r="B38" s="18" t="s">
        <v>86</v>
      </c>
      <c r="C38" s="29">
        <f>IF(E38&lt;&gt;"",SUBTOTAL(103,E$22:E38),"")</f>
        <v>17</v>
      </c>
      <c r="D38" s="30" t="s">
        <v>72</v>
      </c>
      <c r="E38" s="31" t="s">
        <v>87</v>
      </c>
      <c r="F38" s="32" t="s">
        <v>86</v>
      </c>
      <c r="G38" s="33" t="s">
        <v>46</v>
      </c>
      <c r="H38" s="33" t="s">
        <v>74</v>
      </c>
      <c r="I38" s="34" t="s">
        <v>88</v>
      </c>
      <c r="J38" s="35">
        <f>+IFERROR(VLOOKUP(E38,[1]Sheet1!C:H,6,0),"")</f>
        <v>43903</v>
      </c>
      <c r="K38" s="45"/>
    </row>
    <row r="39" spans="1:11" s="36" customFormat="1" ht="30.9" customHeight="1" x14ac:dyDescent="0.3">
      <c r="A39" s="18" t="e">
        <v>#N/A</v>
      </c>
      <c r="B39" s="18" t="s">
        <v>89</v>
      </c>
      <c r="C39" s="29">
        <f>IF(E39&lt;&gt;"",SUBTOTAL(103,E$22:E39),"")</f>
        <v>18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">
      <c r="A40" s="18" t="e">
        <v>#N/A</v>
      </c>
      <c r="B40" s="18" t="s">
        <v>92</v>
      </c>
      <c r="C40" s="29">
        <f>IF(E40&lt;&gt;"",SUBTOTAL(103,E$22:E40),"")</f>
        <v>19</v>
      </c>
      <c r="D40" s="30" t="s">
        <v>72</v>
      </c>
      <c r="E40" s="31" t="s">
        <v>93</v>
      </c>
      <c r="F40" s="32" t="s">
        <v>92</v>
      </c>
      <c r="G40" s="33" t="s">
        <v>46</v>
      </c>
      <c r="H40" s="33" t="s">
        <v>74</v>
      </c>
      <c r="I40" s="34" t="s">
        <v>94</v>
      </c>
      <c r="J40" s="35">
        <f>+IFERROR(VLOOKUP(E40,[1]Sheet1!C:H,6,0),"")</f>
        <v>43672</v>
      </c>
      <c r="K40" s="45"/>
    </row>
    <row r="41" spans="1:11" s="36" customFormat="1" ht="30.9" customHeight="1" x14ac:dyDescent="0.3">
      <c r="A41" s="18" t="e">
        <v>#N/A</v>
      </c>
      <c r="B41" s="18" t="s">
        <v>95</v>
      </c>
      <c r="C41" s="29">
        <f>IF(E41&lt;&gt;"",SUBTOTAL(103,E$22:E41),"")</f>
        <v>20</v>
      </c>
      <c r="D41" s="30" t="s">
        <v>44</v>
      </c>
      <c r="E41" s="31" t="s">
        <v>96</v>
      </c>
      <c r="F41" s="32" t="s">
        <v>95</v>
      </c>
      <c r="G41" s="33" t="s">
        <v>46</v>
      </c>
      <c r="H41" s="33" t="s">
        <v>47</v>
      </c>
      <c r="I41" s="34" t="s">
        <v>58</v>
      </c>
      <c r="J41" s="35">
        <f>+IFERROR(VLOOKUP(E41,[1]Sheet1!C:H,6,0),"")</f>
        <v>43846</v>
      </c>
      <c r="K41" s="45"/>
    </row>
    <row r="42" spans="1:11" s="36" customFormat="1" ht="30.9" customHeight="1" x14ac:dyDescent="0.3">
      <c r="A42" s="18" t="e">
        <v>#N/A</v>
      </c>
      <c r="B42" s="18" t="e">
        <v>#N/A</v>
      </c>
      <c r="C42" s="29">
        <f>IF(E42&lt;&gt;"",SUBTOTAL(103,E$22:E42),"")</f>
        <v>21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customHeight="1" x14ac:dyDescent="0.3">
      <c r="A43" s="18" t="e">
        <v>#N/A</v>
      </c>
      <c r="B43" s="18" t="s">
        <v>99</v>
      </c>
      <c r="C43" s="29">
        <f>IF(E43&lt;&gt;"",SUBTOTAL(103,E$22:E43),"")</f>
        <v>22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">
      <c r="A44" s="18" t="e">
        <v>#N/A</v>
      </c>
      <c r="B44" s="18" t="s">
        <v>101</v>
      </c>
      <c r="C44" s="29">
        <f>IF(E44&lt;&gt;"",SUBTOTAL(103,E$22:E44),"")</f>
        <v>23</v>
      </c>
      <c r="D44" s="30" t="s">
        <v>44</v>
      </c>
      <c r="E44" s="31" t="s">
        <v>102</v>
      </c>
      <c r="F44" s="32" t="s">
        <v>101</v>
      </c>
      <c r="G44" s="33" t="s">
        <v>46</v>
      </c>
      <c r="H44" s="33" t="s">
        <v>47</v>
      </c>
      <c r="I44" s="34" t="s">
        <v>58</v>
      </c>
      <c r="J44" s="35">
        <f>+IFERROR(VLOOKUP(E44,[1]Sheet1!C:H,6,0),"")</f>
        <v>43867</v>
      </c>
      <c r="K44" s="45"/>
    </row>
    <row r="45" spans="1:11" s="36" customFormat="1" ht="30.9" customHeight="1" x14ac:dyDescent="0.3">
      <c r="A45" s="18" t="e">
        <v>#N/A</v>
      </c>
      <c r="B45" s="18" t="e">
        <v>#N/A</v>
      </c>
      <c r="C45" s="29">
        <f>IF(E45&lt;&gt;"",SUBTOTAL(103,E$22:E45),"")</f>
        <v>24</v>
      </c>
      <c r="D45" s="30" t="s">
        <v>60</v>
      </c>
      <c r="E45" s="31" t="s">
        <v>103</v>
      </c>
      <c r="F45" s="32" t="s">
        <v>104</v>
      </c>
      <c r="G45" s="33" t="s">
        <v>46</v>
      </c>
      <c r="H45" s="33" t="s">
        <v>62</v>
      </c>
      <c r="I45" s="34" t="s">
        <v>50</v>
      </c>
      <c r="J45" s="35">
        <f>+IFERROR(VLOOKUP(E45,[1]Sheet1!C:H,6,0),"")</f>
        <v>43875</v>
      </c>
      <c r="K45" s="45"/>
    </row>
    <row r="46" spans="1:11" s="36" customFormat="1" ht="30.9" customHeight="1" x14ac:dyDescent="0.3">
      <c r="A46" s="18" t="s">
        <v>105</v>
      </c>
      <c r="B46" s="18" t="e">
        <v>#N/A</v>
      </c>
      <c r="C46" s="29">
        <f>IF(E46&lt;&gt;"",SUBTOTAL(103,E$22:E46),"")</f>
        <v>25</v>
      </c>
      <c r="D46" s="30" t="s">
        <v>44</v>
      </c>
      <c r="E46" s="38" t="s">
        <v>106</v>
      </c>
      <c r="F46" s="39" t="s">
        <v>105</v>
      </c>
      <c r="G46" s="33" t="s">
        <v>46</v>
      </c>
      <c r="H46" s="33" t="s">
        <v>47</v>
      </c>
      <c r="I46" s="34" t="s">
        <v>58</v>
      </c>
      <c r="J46" s="35">
        <f>+IFERROR(VLOOKUP(E46,[1]Sheet1!C:H,6,0),"")</f>
        <v>43875</v>
      </c>
      <c r="K46" s="45"/>
    </row>
    <row r="47" spans="1:11" s="36" customFormat="1" ht="30.9" customHeight="1" x14ac:dyDescent="0.3">
      <c r="A47" s="18" t="e">
        <v>#N/A</v>
      </c>
      <c r="B47" s="18" t="s">
        <v>107</v>
      </c>
      <c r="C47" s="29">
        <f>IF(E47&lt;&gt;"",SUBTOTAL(103,E$22:E47),"")</f>
        <v>26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">
      <c r="A48" s="18" t="e">
        <v>#N/A</v>
      </c>
      <c r="B48" s="18" t="s">
        <v>109</v>
      </c>
      <c r="C48" s="29">
        <f>IF(E48&lt;&gt;"",SUBTOTAL(103,E$22:E48),"")</f>
        <v>27</v>
      </c>
      <c r="D48" s="30" t="s">
        <v>44</v>
      </c>
      <c r="E48" s="37" t="s">
        <v>110</v>
      </c>
      <c r="F48" s="32" t="s">
        <v>109</v>
      </c>
      <c r="G48" s="33" t="s">
        <v>46</v>
      </c>
      <c r="H48" s="33" t="s">
        <v>47</v>
      </c>
      <c r="I48" s="34" t="s">
        <v>58</v>
      </c>
      <c r="J48" s="35">
        <f>+IFERROR(VLOOKUP(E48,[1]Sheet1!C:H,6,0),"")</f>
        <v>43844</v>
      </c>
      <c r="K48" s="45"/>
    </row>
    <row r="49" spans="1:11" s="36" customFormat="1" ht="30.9" customHeight="1" x14ac:dyDescent="0.3">
      <c r="A49" s="18" t="s">
        <v>111</v>
      </c>
      <c r="B49" s="18" t="e">
        <v>#N/A</v>
      </c>
      <c r="C49" s="29">
        <f>IF(E49&lt;&gt;"",SUBTOTAL(103,E$22:E49),"")</f>
        <v>28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customHeight="1" x14ac:dyDescent="0.3">
      <c r="A50" s="18" t="e">
        <v>#N/A</v>
      </c>
      <c r="B50" s="18" t="s">
        <v>113</v>
      </c>
      <c r="C50" s="29">
        <f>IF(E50&lt;&gt;"",SUBTOTAL(103,E$22:E50),"")</f>
        <v>29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">
      <c r="A51" s="18" t="e">
        <v>#N/A</v>
      </c>
      <c r="B51" s="18" t="s">
        <v>115</v>
      </c>
      <c r="C51" s="29">
        <f>IF(E51&lt;&gt;"",SUBTOTAL(103,E$22:E51),"")</f>
        <v>30</v>
      </c>
      <c r="D51" s="30" t="s">
        <v>60</v>
      </c>
      <c r="E51" s="31" t="s">
        <v>116</v>
      </c>
      <c r="F51" s="32" t="s">
        <v>115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44029</v>
      </c>
      <c r="K51" s="45"/>
    </row>
    <row r="52" spans="1:11" s="36" customFormat="1" ht="30.9" customHeight="1" x14ac:dyDescent="0.3">
      <c r="A52" s="18" t="e">
        <v>#N/A</v>
      </c>
      <c r="B52" s="18" t="s">
        <v>117</v>
      </c>
      <c r="C52" s="29">
        <f>IF(E52&lt;&gt;"",SUBTOTAL(103,E$22:E52),"")</f>
        <v>31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">
      <c r="A53" s="18" t="s">
        <v>119</v>
      </c>
      <c r="B53" s="18" t="e">
        <v>#N/A</v>
      </c>
      <c r="C53" s="29">
        <f>IF(E53&lt;&gt;"",SUBTOTAL(103,E$22:E53),"")</f>
        <v>32</v>
      </c>
      <c r="D53" s="30" t="s">
        <v>60</v>
      </c>
      <c r="E53" s="31" t="s">
        <v>120</v>
      </c>
      <c r="F53" s="32" t="s">
        <v>119</v>
      </c>
      <c r="G53" s="33" t="s">
        <v>46</v>
      </c>
      <c r="H53" s="33" t="s">
        <v>62</v>
      </c>
      <c r="I53" s="34" t="s">
        <v>121</v>
      </c>
      <c r="J53" s="35">
        <f>+IFERROR(VLOOKUP(E53,[1]Sheet1!C:H,6,0),"")</f>
        <v>44043</v>
      </c>
      <c r="K53" s="45"/>
    </row>
    <row r="54" spans="1:11" s="36" customFormat="1" ht="30.9" customHeight="1" x14ac:dyDescent="0.3">
      <c r="A54" s="18" t="e">
        <v>#N/A</v>
      </c>
      <c r="B54" s="18" t="e">
        <v>#N/A</v>
      </c>
      <c r="C54" s="29">
        <f>IF(E54&lt;&gt;"",SUBTOTAL(103,E$22:E54),"")</f>
        <v>33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53</v>
      </c>
      <c r="J54" s="35">
        <f>+IFERROR(VLOOKUP(E54,[1]Sheet1!C:H,6,0),"")</f>
        <v>44033</v>
      </c>
      <c r="K54" s="45"/>
    </row>
    <row r="55" spans="1:11" s="36" customFormat="1" ht="30.9" customHeight="1" x14ac:dyDescent="0.3">
      <c r="A55" s="18" t="e">
        <v>#N/A</v>
      </c>
      <c r="B55" s="18" t="e">
        <v>#N/A</v>
      </c>
      <c r="C55" s="29">
        <f>IF(E55&lt;&gt;"",SUBTOTAL(103,E$22:E55),"")</f>
        <v>34</v>
      </c>
      <c r="D55" s="30" t="s">
        <v>60</v>
      </c>
      <c r="E55" s="31" t="s">
        <v>124</v>
      </c>
      <c r="F55" s="32" t="s">
        <v>125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44077</v>
      </c>
      <c r="K55" s="45"/>
    </row>
    <row r="56" spans="1:11" s="36" customFormat="1" ht="30.9" customHeight="1" x14ac:dyDescent="0.3">
      <c r="A56" s="18" t="e">
        <v>#N/A</v>
      </c>
      <c r="B56" s="18" t="s">
        <v>126</v>
      </c>
      <c r="C56" s="29">
        <f>IF(E56&lt;&gt;"",SUBTOTAL(103,E$22:E56),"")</f>
        <v>35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">
      <c r="A57" s="18" t="e">
        <v>#N/A</v>
      </c>
      <c r="B57" s="18" t="s">
        <v>128</v>
      </c>
      <c r="C57" s="29">
        <f>IF(E57&lt;&gt;"",SUBTOTAL(103,E$22:E57),"")</f>
        <v>36</v>
      </c>
      <c r="D57" s="30" t="s">
        <v>44</v>
      </c>
      <c r="E57" s="31" t="s">
        <v>129</v>
      </c>
      <c r="F57" s="32" t="s">
        <v>128</v>
      </c>
      <c r="G57" s="33" t="s">
        <v>46</v>
      </c>
      <c r="H57" s="33" t="s">
        <v>47</v>
      </c>
      <c r="I57" s="34" t="s">
        <v>58</v>
      </c>
      <c r="J57" s="35">
        <f>+IFERROR(VLOOKUP(E57,[1]Sheet1!C:H,6,0),"")</f>
        <v>44118</v>
      </c>
      <c r="K57" s="45"/>
    </row>
    <row r="58" spans="1:11" s="36" customFormat="1" ht="30.9" customHeight="1" x14ac:dyDescent="0.3">
      <c r="A58" s="18" t="e">
        <v>#N/A</v>
      </c>
      <c r="B58" s="18" t="s">
        <v>130</v>
      </c>
      <c r="C58" s="29">
        <f>IF(E58&lt;&gt;"",SUBTOTAL(103,E$22:E58),"")</f>
        <v>37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customHeight="1" x14ac:dyDescent="0.3">
      <c r="A59" s="18" t="e">
        <v>#N/A</v>
      </c>
      <c r="B59" s="18" t="s">
        <v>132</v>
      </c>
      <c r="C59" s="29">
        <f>IF(E59&lt;&gt;"",SUBTOTAL(103,E$22:E59),"")</f>
        <v>38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">
      <c r="A60" s="18" t="e">
        <v>#N/A</v>
      </c>
      <c r="B60" s="18" t="s">
        <v>134</v>
      </c>
      <c r="C60" s="29">
        <f>IF(E60&lt;&gt;"",SUBTOTAL(103,E$22:E60),"")</f>
        <v>39</v>
      </c>
      <c r="D60" s="30" t="s">
        <v>60</v>
      </c>
      <c r="E60" s="31" t="s">
        <v>135</v>
      </c>
      <c r="F60" s="32" t="s">
        <v>134</v>
      </c>
      <c r="G60" s="33" t="s">
        <v>46</v>
      </c>
      <c r="H60" s="33" t="s">
        <v>62</v>
      </c>
      <c r="I60" s="34" t="s">
        <v>50</v>
      </c>
      <c r="J60" s="35">
        <f>+IFERROR(VLOOKUP(E60,[1]Sheet1!C:H,6,0),"")</f>
        <v>44256</v>
      </c>
      <c r="K60" s="45"/>
    </row>
    <row r="61" spans="1:11" s="36" customFormat="1" ht="30.9" customHeight="1" x14ac:dyDescent="0.3">
      <c r="A61" s="18" t="e">
        <v>#N/A</v>
      </c>
      <c r="B61" s="18" t="e">
        <v>#N/A</v>
      </c>
      <c r="C61" s="29">
        <f>IF(E61&lt;&gt;"",SUBTOTAL(103,E$22:E61),"")</f>
        <v>40</v>
      </c>
      <c r="D61" s="30" t="s">
        <v>60</v>
      </c>
      <c r="E61" s="31" t="s">
        <v>136</v>
      </c>
      <c r="F61" s="32" t="s">
        <v>137</v>
      </c>
      <c r="G61" s="33" t="s">
        <v>46</v>
      </c>
      <c r="H61" s="33" t="s">
        <v>62</v>
      </c>
      <c r="I61" s="34" t="s">
        <v>121</v>
      </c>
      <c r="J61" s="35">
        <f>+IFERROR(VLOOKUP(E61,[1]Sheet1!C:H,6,0),"")</f>
        <v>44312</v>
      </c>
      <c r="K61" s="45"/>
    </row>
    <row r="62" spans="1:11" s="36" customFormat="1" ht="30.9" customHeight="1" x14ac:dyDescent="0.3">
      <c r="A62" s="18" t="s">
        <v>138</v>
      </c>
      <c r="B62" s="18" t="e">
        <v>#N/A</v>
      </c>
      <c r="C62" s="29">
        <f>IF(E62&lt;&gt;"",SUBTOTAL(103,E$22:E62),"")</f>
        <v>41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customHeight="1" x14ac:dyDescent="0.3">
      <c r="A63" s="18" t="e">
        <v>#N/A</v>
      </c>
      <c r="B63" s="18" t="s">
        <v>140</v>
      </c>
      <c r="C63" s="29">
        <f>IF(E63&lt;&gt;"",SUBTOTAL(103,E$22:E63),"")</f>
        <v>42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customHeight="1" x14ac:dyDescent="0.3">
      <c r="A64" s="18" t="e">
        <v>#N/A</v>
      </c>
      <c r="B64" s="18" t="s">
        <v>143</v>
      </c>
      <c r="C64" s="29">
        <f>IF(E64&lt;&gt;"",SUBTOTAL(103,E$22:E64),"")</f>
        <v>43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customHeight="1" x14ac:dyDescent="0.3">
      <c r="A65" s="18" t="s">
        <v>145</v>
      </c>
      <c r="B65" s="18" t="e">
        <v>#N/A</v>
      </c>
      <c r="C65" s="29">
        <f>IF(E65&lt;&gt;"",SUBTOTAL(103,E$22:E65),"")</f>
        <v>44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">
      <c r="A66" s="18" t="e">
        <v>#N/A</v>
      </c>
      <c r="B66" s="18" t="s">
        <v>147</v>
      </c>
      <c r="C66" s="29">
        <f>IF(E66&lt;&gt;"",SUBTOTAL(103,E$22:E66),"")</f>
        <v>45</v>
      </c>
      <c r="D66" s="30" t="s">
        <v>60</v>
      </c>
      <c r="E66" s="31" t="s">
        <v>148</v>
      </c>
      <c r="F66" s="39" t="s">
        <v>147</v>
      </c>
      <c r="G66" s="33" t="s">
        <v>46</v>
      </c>
      <c r="H66" s="33" t="s">
        <v>62</v>
      </c>
      <c r="I66" s="34" t="s">
        <v>58</v>
      </c>
      <c r="J66" s="35">
        <f>+IFERROR(VLOOKUP(E66,[1]Sheet1!C:H,6,0),"")</f>
        <v>44516</v>
      </c>
      <c r="K66" s="45"/>
    </row>
    <row r="67" spans="1:11" s="36" customFormat="1" ht="30.9" customHeight="1" x14ac:dyDescent="0.3">
      <c r="A67" s="18" t="e">
        <v>#N/A</v>
      </c>
      <c r="B67" s="18" t="s">
        <v>149</v>
      </c>
      <c r="C67" s="29">
        <f>IF(E67&lt;&gt;"",SUBTOTAL(103,E$22:E67),"")</f>
        <v>46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customHeight="1" x14ac:dyDescent="0.3">
      <c r="A68" s="18" t="s">
        <v>151</v>
      </c>
      <c r="B68" s="18" t="e">
        <v>#N/A</v>
      </c>
      <c r="C68" s="29">
        <f>IF(E68&lt;&gt;"",SUBTOTAL(103,E$22:E68),"")</f>
        <v>47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customHeight="1" x14ac:dyDescent="0.3">
      <c r="A69" s="18" t="e">
        <v>#N/A</v>
      </c>
      <c r="B69" s="18" t="s">
        <v>153</v>
      </c>
      <c r="C69" s="29">
        <f>IF(E69&lt;&gt;"",SUBTOTAL(103,E$22:E69),"")</f>
        <v>48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e">
        <v>#N/A</v>
      </c>
      <c r="B70" s="18" t="s">
        <v>155</v>
      </c>
      <c r="C70" s="29">
        <f>IF(E70&lt;&gt;"",SUBTOTAL(103,E$22:E70),"")</f>
        <v>49</v>
      </c>
      <c r="D70" s="30" t="s">
        <v>60</v>
      </c>
      <c r="E70" s="31" t="s">
        <v>156</v>
      </c>
      <c r="F70" s="32" t="s">
        <v>155</v>
      </c>
      <c r="G70" s="33" t="s">
        <v>46</v>
      </c>
      <c r="H70" s="33" t="s">
        <v>62</v>
      </c>
      <c r="I70" s="34" t="s">
        <v>58</v>
      </c>
      <c r="J70" s="35">
        <f>+IFERROR(VLOOKUP(E70,[1]Sheet1!C:H,6,0),"")</f>
        <v>44603</v>
      </c>
      <c r="K70" s="45"/>
    </row>
    <row r="71" spans="1:11" s="36" customFormat="1" ht="30.9" customHeight="1" x14ac:dyDescent="0.3">
      <c r="A71" s="18" t="s">
        <v>157</v>
      </c>
      <c r="B71" s="18" t="e">
        <v>#N/A</v>
      </c>
      <c r="C71" s="29">
        <f>IF(E71&lt;&gt;"",SUBTOTAL(103,E$22:E71),"")</f>
        <v>50</v>
      </c>
      <c r="D71" s="30" t="s">
        <v>60</v>
      </c>
      <c r="E71" s="31" t="s">
        <v>158</v>
      </c>
      <c r="F71" s="32" t="s">
        <v>157</v>
      </c>
      <c r="G71" s="33" t="s">
        <v>46</v>
      </c>
      <c r="H71" s="33" t="s">
        <v>62</v>
      </c>
      <c r="I71" s="34" t="s">
        <v>58</v>
      </c>
      <c r="J71" s="35">
        <f>+IFERROR(VLOOKUP(E71,[1]Sheet1!C:H,6,0),"")</f>
        <v>44610</v>
      </c>
      <c r="K71" s="45"/>
    </row>
    <row r="72" spans="1:11" s="36" customFormat="1" ht="30.9" customHeight="1" x14ac:dyDescent="0.3">
      <c r="A72" s="18" t="e">
        <v>#N/A</v>
      </c>
      <c r="B72" s="18" t="s">
        <v>159</v>
      </c>
      <c r="C72" s="29">
        <f>IF(E72&lt;&gt;"",SUBTOTAL(103,E$22:E72),"")</f>
        <v>51</v>
      </c>
      <c r="D72" s="30" t="s">
        <v>44</v>
      </c>
      <c r="E72" s="31" t="s">
        <v>160</v>
      </c>
      <c r="F72" s="32" t="s">
        <v>159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44630</v>
      </c>
      <c r="K72" s="45"/>
    </row>
    <row r="73" spans="1:11" s="36" customFormat="1" ht="30.9" customHeight="1" x14ac:dyDescent="0.3">
      <c r="A73" s="18" t="e">
        <v>#N/A</v>
      </c>
      <c r="B73" s="18" t="s">
        <v>161</v>
      </c>
      <c r="C73" s="29">
        <f>IF(E73&lt;&gt;"",SUBTOTAL(103,E$22:E73),"")</f>
        <v>52</v>
      </c>
      <c r="D73" s="30" t="s">
        <v>60</v>
      </c>
      <c r="E73" s="31" t="s">
        <v>162</v>
      </c>
      <c r="F73" s="32" t="s">
        <v>161</v>
      </c>
      <c r="G73" s="33" t="s">
        <v>46</v>
      </c>
      <c r="H73" s="33" t="s">
        <v>62</v>
      </c>
      <c r="I73" s="34" t="s">
        <v>121</v>
      </c>
      <c r="J73" s="35">
        <f>+IFERROR(VLOOKUP(E73,[1]Sheet1!C:H,6,0),"")</f>
        <v>44630</v>
      </c>
      <c r="K73" s="45"/>
    </row>
    <row r="74" spans="1:11" s="36" customFormat="1" ht="30.9" customHeight="1" x14ac:dyDescent="0.3">
      <c r="A74" s="18" t="s">
        <v>163</v>
      </c>
      <c r="B74" s="18" t="e">
        <v>#N/A</v>
      </c>
      <c r="C74" s="29">
        <f>IF(E74&lt;&gt;"",SUBTOTAL(103,E$22:E74),"")</f>
        <v>53</v>
      </c>
      <c r="D74" s="30" t="s">
        <v>44</v>
      </c>
      <c r="E74" s="31" t="s">
        <v>164</v>
      </c>
      <c r="F74" s="32" t="s">
        <v>163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44634</v>
      </c>
      <c r="K74" s="45"/>
    </row>
    <row r="75" spans="1:11" s="36" customFormat="1" ht="30.9" customHeight="1" x14ac:dyDescent="0.3">
      <c r="A75" s="18" t="e">
        <v>#N/A</v>
      </c>
      <c r="B75" s="18" t="s">
        <v>165</v>
      </c>
      <c r="C75" s="29">
        <f>IF(E75&lt;&gt;"",SUBTOTAL(103,E$22:E75),"")</f>
        <v>54</v>
      </c>
      <c r="D75" s="30" t="s">
        <v>60</v>
      </c>
      <c r="E75" s="31" t="s">
        <v>166</v>
      </c>
      <c r="F75" s="32" t="s">
        <v>165</v>
      </c>
      <c r="G75" s="33" t="s">
        <v>46</v>
      </c>
      <c r="H75" s="33" t="s">
        <v>62</v>
      </c>
      <c r="I75" s="34" t="s">
        <v>121</v>
      </c>
      <c r="J75" s="35">
        <f>+IFERROR(VLOOKUP(E75,[1]Sheet1!C:H,6,0),"")</f>
        <v>44634</v>
      </c>
      <c r="K75" s="45"/>
    </row>
    <row r="76" spans="1:11" s="36" customFormat="1" ht="30.9" customHeight="1" x14ac:dyDescent="0.3">
      <c r="A76" s="18" t="s">
        <v>167</v>
      </c>
      <c r="B76" s="18" t="e">
        <v>#N/A</v>
      </c>
      <c r="C76" s="29">
        <f>IF(E76&lt;&gt;"",SUBTOTAL(103,E$22:E76),"")</f>
        <v>55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customHeight="1" x14ac:dyDescent="0.3">
      <c r="A77" s="18" t="e">
        <v>#N/A</v>
      </c>
      <c r="B77" s="18" t="s">
        <v>169</v>
      </c>
      <c r="C77" s="29">
        <f>IF(E77&lt;&gt;"",SUBTOTAL(103,E$22:E77),"")</f>
        <v>56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e">
        <v>#N/A</v>
      </c>
      <c r="B78" s="18" t="s">
        <v>171</v>
      </c>
      <c r="C78" s="29">
        <f>IF(E78&lt;&gt;"",SUBTOTAL(103,E$22:E78),"")</f>
        <v>57</v>
      </c>
      <c r="D78" s="30" t="s">
        <v>60</v>
      </c>
      <c r="E78" s="31" t="s">
        <v>172</v>
      </c>
      <c r="F78" s="34" t="s">
        <v>171</v>
      </c>
      <c r="G78" s="33" t="s">
        <v>46</v>
      </c>
      <c r="H78" s="33" t="s">
        <v>62</v>
      </c>
      <c r="I78" s="34" t="s">
        <v>121</v>
      </c>
      <c r="J78" s="35">
        <f>+IFERROR(VLOOKUP(E78,[1]Sheet1!C:H,6,0),"")</f>
        <v>44707</v>
      </c>
      <c r="K78" s="45"/>
    </row>
    <row r="79" spans="1:11" s="36" customFormat="1" ht="30.9" customHeight="1" x14ac:dyDescent="0.3">
      <c r="A79" s="18" t="s">
        <v>173</v>
      </c>
      <c r="B79" s="18" t="e">
        <v>#N/A</v>
      </c>
      <c r="C79" s="29">
        <f>IF(E79&lt;&gt;"",SUBTOTAL(103,E$22:E79),"")</f>
        <v>58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customHeight="1" x14ac:dyDescent="0.3">
      <c r="A80" s="18" t="e">
        <v>#N/A</v>
      </c>
      <c r="B80" s="18" t="s">
        <v>175</v>
      </c>
      <c r="C80" s="29">
        <f>IF(E80&lt;&gt;"",SUBTOTAL(103,E$22:E80),"")</f>
        <v>59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customHeight="1" x14ac:dyDescent="0.3">
      <c r="A81" s="18" t="e">
        <v>#N/A</v>
      </c>
      <c r="B81" s="18" t="s">
        <v>177</v>
      </c>
      <c r="C81" s="29">
        <f>IF(E81&lt;&gt;"",SUBTOTAL(103,E$22:E81),"")</f>
        <v>60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customHeight="1" x14ac:dyDescent="0.3">
      <c r="A82" s="18" t="e">
        <v>#N/A</v>
      </c>
      <c r="B82" s="18" t="s">
        <v>180</v>
      </c>
      <c r="C82" s="29">
        <f>IF(E82&lt;&gt;"",SUBTOTAL(103,E$22:E82),"")</f>
        <v>61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">
      <c r="A83" s="18" t="s">
        <v>182</v>
      </c>
      <c r="B83" s="18" t="e">
        <v>#N/A</v>
      </c>
      <c r="C83" s="29">
        <f>IF(E83&lt;&gt;"",SUBTOTAL(103,E$22:E83),"")</f>
        <v>62</v>
      </c>
      <c r="D83" s="30" t="s">
        <v>60</v>
      </c>
      <c r="E83" s="31" t="s">
        <v>183</v>
      </c>
      <c r="F83" s="34" t="s">
        <v>182</v>
      </c>
      <c r="G83" s="33" t="s">
        <v>46</v>
      </c>
      <c r="H83" s="33" t="s">
        <v>62</v>
      </c>
      <c r="I83" s="34" t="s">
        <v>50</v>
      </c>
      <c r="J83" s="35">
        <f>+IFERROR(VLOOKUP(E83,[1]Sheet1!C:H,6,0),"")</f>
        <v>44993</v>
      </c>
      <c r="K83" s="45"/>
    </row>
    <row r="84" spans="1:11" s="36" customFormat="1" ht="30.75" customHeight="1" x14ac:dyDescent="0.3">
      <c r="A84" s="18" t="e">
        <v>#N/A</v>
      </c>
      <c r="B84" s="18" t="s">
        <v>184</v>
      </c>
      <c r="C84" s="29">
        <f>IF(E84&lt;&gt;"",SUBTOTAL(103,E$22:E84),"")</f>
        <v>63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customHeight="1" x14ac:dyDescent="0.3">
      <c r="A85" s="18" t="e">
        <v>#N/A</v>
      </c>
      <c r="B85" s="18" t="s">
        <v>186</v>
      </c>
      <c r="C85" s="29">
        <f>IF(E85&lt;&gt;"",SUBTOTAL(103,E$22:E85),"")</f>
        <v>64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customHeight="1" x14ac:dyDescent="0.3">
      <c r="A86" s="18" t="e">
        <v>#N/A</v>
      </c>
      <c r="B86" s="18" t="s">
        <v>189</v>
      </c>
      <c r="C86" s="29">
        <f>IF(E86&lt;&gt;"",SUBTOTAL(103,E$22:E86),"")</f>
        <v>65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customHeight="1" x14ac:dyDescent="0.3">
      <c r="A87" s="18" t="e">
        <v>#N/A</v>
      </c>
      <c r="B87" s="18" t="s">
        <v>191</v>
      </c>
      <c r="C87" s="29">
        <f>IF(E87&lt;&gt;"",SUBTOTAL(103,E$22:E87),"")</f>
        <v>66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customHeight="1" x14ac:dyDescent="0.3">
      <c r="A88" s="18" t="s">
        <v>194</v>
      </c>
      <c r="B88" s="18" t="e">
        <v>#N/A</v>
      </c>
      <c r="C88" s="29">
        <f>IF(E88&lt;&gt;"",SUBTOTAL(103,E$22:E88),"")</f>
        <v>67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">
      <c r="A89" s="18" t="e">
        <v>#N/A</v>
      </c>
      <c r="B89" s="18" t="s">
        <v>196</v>
      </c>
      <c r="C89" s="29">
        <f>IF(E89&lt;&gt;"",SUBTOTAL(103,E$22:E89),"")</f>
        <v>68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53</v>
      </c>
      <c r="J89" s="35">
        <f>+IFERROR(VLOOKUP(E89,[1]Sheet1!C:H,6,0),"")</f>
        <v>45358</v>
      </c>
      <c r="K89" s="46"/>
    </row>
    <row r="90" spans="1:11" ht="27.75" customHeight="1" x14ac:dyDescent="0.3">
      <c r="A90" s="18" t="e">
        <v>#N/A</v>
      </c>
      <c r="B90" s="18" t="s">
        <v>198</v>
      </c>
      <c r="C90" s="29">
        <f>IF(E90&lt;&gt;"",SUBTOTAL(103,E$22:E90),"")</f>
        <v>69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53</v>
      </c>
      <c r="J90" s="35">
        <f>+IFERROR(VLOOKUP(E90,[1]Sheet1!C:H,6,0),"")</f>
        <v>45358</v>
      </c>
      <c r="K90" s="46"/>
    </row>
    <row r="91" spans="1:11" ht="27.75" customHeight="1" x14ac:dyDescent="0.3">
      <c r="A91" s="18" t="s">
        <v>200</v>
      </c>
      <c r="B91" s="18" t="e">
        <v>#N/A</v>
      </c>
      <c r="C91" s="29">
        <f>IF(E91&lt;&gt;"",SUBTOTAL(103,E$22:E91),"")</f>
        <v>70</v>
      </c>
      <c r="D91" s="30" t="s">
        <v>60</v>
      </c>
      <c r="E91" s="31" t="s">
        <v>201</v>
      </c>
      <c r="F91" s="32" t="s">
        <v>200</v>
      </c>
      <c r="G91" s="33" t="s">
        <v>46</v>
      </c>
      <c r="H91" s="33" t="s">
        <v>62</v>
      </c>
      <c r="I91" s="34" t="s">
        <v>58</v>
      </c>
      <c r="J91" s="35">
        <f>+IFERROR(VLOOKUP(E91,[1]Sheet1!C:H,6,0),"")</f>
        <v>45372</v>
      </c>
      <c r="K91" s="46"/>
    </row>
    <row r="92" spans="1:11" ht="27" customHeight="1" x14ac:dyDescent="0.3">
      <c r="A92" s="18" t="e">
        <v>#N/A</v>
      </c>
      <c r="B92" s="18" t="s">
        <v>202</v>
      </c>
      <c r="C92" s="29">
        <f>IF(E92&lt;&gt;"",SUBTOTAL(103,E$22:E92),"")</f>
        <v>71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customHeight="1" x14ac:dyDescent="0.3">
      <c r="A93" s="18" t="s">
        <v>204</v>
      </c>
      <c r="B93" s="18" t="e">
        <v>#N/A</v>
      </c>
      <c r="C93" s="29">
        <f>IF(E93&lt;&gt;"",SUBTOTAL(103,E$22:E93),"")</f>
        <v>72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customHeight="1" x14ac:dyDescent="0.3">
      <c r="A94" s="18" t="e">
        <v>#N/A</v>
      </c>
      <c r="B94" s="18" t="s">
        <v>206</v>
      </c>
      <c r="C94" s="29">
        <f>IF(E94&lt;&gt;"",SUBTOTAL(103,E$22:E94),"")</f>
        <v>73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">
      <c r="A95" s="18" t="e">
        <v>#N/A</v>
      </c>
      <c r="B95" s="18" t="s">
        <v>208</v>
      </c>
      <c r="C95" s="29">
        <f>IF(E95&lt;&gt;"",SUBTOTAL(103,E$22:E95),"")</f>
        <v>74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53</v>
      </c>
      <c r="J95" s="35">
        <f>+IFERROR(VLOOKUP(E95,[1]Sheet1!C:H,6,0),"")</f>
        <v>45377</v>
      </c>
      <c r="K95" s="46"/>
    </row>
    <row r="96" spans="1:11" ht="28.5" customHeight="1" x14ac:dyDescent="0.3">
      <c r="C96" s="29">
        <f>IF(E96&lt;&gt;"",SUBTOTAL(103,E$22:E96),"")</f>
        <v>75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53</v>
      </c>
      <c r="J96" s="35">
        <f>+IFERROR(VLOOKUP(E96,[1]Sheet1!C:H,6,0),"")</f>
        <v>45453</v>
      </c>
      <c r="K96" s="46"/>
    </row>
    <row r="97" spans="3:11" ht="28.5" customHeight="1" x14ac:dyDescent="0.3">
      <c r="C97" s="29">
        <f>IF(E97&lt;&gt;"",SUBTOTAL(103,E$22:E97),"")</f>
        <v>76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3:11" ht="28.5" customHeight="1" x14ac:dyDescent="0.3">
      <c r="C98" s="29">
        <f>IF(E98&lt;&gt;"",SUBTOTAL(103,E$22:E98),"")</f>
        <v>77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53</v>
      </c>
      <c r="J98" s="35" t="str">
        <f>+IFERROR(VLOOKUP(E98,[1]Sheet1!C:H,6,0),"")</f>
        <v>15/08/2024</v>
      </c>
      <c r="K98" s="46"/>
    </row>
    <row r="99" spans="3:11" ht="28.5" customHeight="1" x14ac:dyDescent="0.3">
      <c r="C99" s="29">
        <f>IF(E99&lt;&gt;"",SUBTOTAL(103,E$22:E99),"")</f>
        <v>78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3:11" ht="28.5" customHeight="1" x14ac:dyDescent="0.3">
      <c r="C100" s="29">
        <f>IF(E100&lt;&gt;"",SUBTOTAL(103,E$22:E100),"")</f>
        <v>79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3:11" ht="28.5" customHeight="1" x14ac:dyDescent="0.3">
      <c r="C101" s="29">
        <f>IF(E101&lt;&gt;"",SUBTOTAL(103,E$22:E101),"")</f>
        <v>80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3:11" ht="28.5" customHeight="1" x14ac:dyDescent="0.3">
      <c r="C102" s="29">
        <f>IF(E102&lt;&gt;"",SUBTOTAL(103,E$22:E102),"")</f>
        <v>81</v>
      </c>
      <c r="D102" s="30" t="s">
        <v>72</v>
      </c>
      <c r="E102" s="31" t="s">
        <v>222</v>
      </c>
      <c r="F102" s="32" t="s">
        <v>223</v>
      </c>
      <c r="G102" s="33" t="s">
        <v>46</v>
      </c>
      <c r="H102" s="33" t="s">
        <v>74</v>
      </c>
      <c r="I102" s="34" t="s">
        <v>224</v>
      </c>
      <c r="J102" s="35" t="str">
        <f>+IFERROR(VLOOKUP(E102,[1]Sheet1!C:H,6,0),"")</f>
        <v>30/09/2024</v>
      </c>
      <c r="K102" s="47"/>
    </row>
    <row r="103" spans="3:11" ht="28.5" customHeight="1" x14ac:dyDescent="0.3">
      <c r="C103" s="29">
        <f>IF(E103&lt;&gt;"",SUBTOTAL(103,E$22:E103),"")</f>
        <v>82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53</v>
      </c>
      <c r="J103" s="35" t="str">
        <f>+IFERROR(VLOOKUP(E103,[1]Sheet1!C:H,6,0),"")</f>
        <v>15/10/2024</v>
      </c>
      <c r="K103" s="47"/>
    </row>
    <row r="104" spans="3:11" ht="28.5" customHeight="1" x14ac:dyDescent="0.3">
      <c r="C104" s="29">
        <f>IF(E104&lt;&gt;"",SUBTOTAL(103,E$22:E104),"")</f>
        <v>83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3:11" ht="32.25" customHeight="1" x14ac:dyDescent="0.3">
      <c r="C105" s="29">
        <f>IF(E105&lt;&gt;"",SUBTOTAL(103,E$22:E105),"")</f>
        <v>84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3:11" ht="28.5" customHeight="1" x14ac:dyDescent="0.3">
      <c r="C106" s="29">
        <f>IF(E106&lt;&gt;"",SUBTOTAL(103,E$22:E106),"")</f>
        <v>85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53</v>
      </c>
      <c r="J106" s="35" t="str">
        <f>+IFERROR(VLOOKUP(E106,[1]Sheet1!C:H,6,0),"")</f>
        <v>02/01/2025</v>
      </c>
      <c r="K106" s="47"/>
    </row>
    <row r="107" spans="3:11" ht="28.5" customHeight="1" x14ac:dyDescent="0.3">
      <c r="C107" s="29">
        <f>IF(E107&lt;&gt;"",SUBTOTAL(103,E$22:E107),"")</f>
        <v>86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3:11" ht="28.5" customHeight="1" x14ac:dyDescent="0.3">
      <c r="C108" s="29">
        <f>IF(E108&lt;&gt;"",SUBTOTAL(103,E$22:E108),"")</f>
        <v>87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3:11" ht="28.5" customHeight="1" x14ac:dyDescent="0.3">
      <c r="C109" s="29">
        <f>IF(E109&lt;&gt;"",SUBTOTAL(103,E$22:E109),"")</f>
        <v>88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3:11" ht="28.5" customHeight="1" x14ac:dyDescent="0.3">
      <c r="C110" s="29">
        <f>IF(E110&lt;&gt;"",SUBTOTAL(103,E$22:E110),"")</f>
        <v>89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3:11" ht="28.5" customHeight="1" x14ac:dyDescent="0.3">
      <c r="C111" s="29">
        <f>IF(E111&lt;&gt;"",SUBTOTAL(103,E$22:E111),"")</f>
        <v>90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3:11" ht="28.5" customHeight="1" x14ac:dyDescent="0.3">
      <c r="C112" s="29">
        <f>IF(E112&lt;&gt;"",SUBTOTAL(103,E$22:E112),"")</f>
        <v>91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3:11" ht="28.5" customHeight="1" x14ac:dyDescent="0.3">
      <c r="C113" s="29">
        <f>IF(E113&lt;&gt;"",SUBTOTAL(103,E$22:E113),"")</f>
        <v>92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3:11" ht="28.5" customHeight="1" x14ac:dyDescent="0.3">
      <c r="C114" s="29">
        <f>IF(E114&lt;&gt;"",SUBTOTAL(103,E$22:E114),"")</f>
        <v>93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3:11" ht="28.5" customHeight="1" x14ac:dyDescent="0.3">
      <c r="C115" s="29">
        <f>IF(E115&lt;&gt;"",SUBTOTAL(103,E$22:E115),"")</f>
        <v>94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3:11" ht="28.5" customHeight="1" x14ac:dyDescent="0.3">
      <c r="C116" s="29">
        <f>IF(E116&lt;&gt;"",SUBTOTAL(103,E$22:E116),"")</f>
        <v>95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3:11" ht="28.5" customHeight="1" x14ac:dyDescent="0.3">
      <c r="C117" s="29">
        <f>IF(E117&lt;&gt;"",SUBTOTAL(103,E$22:E117),"")</f>
        <v>96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3:11" ht="28.5" customHeight="1" x14ac:dyDescent="0.3">
      <c r="C118" s="29">
        <f>IF(E118&lt;&gt;"",SUBTOTAL(103,E$22:E118),"")</f>
        <v>97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3:11" ht="28.5" customHeight="1" x14ac:dyDescent="0.3">
      <c r="C119" s="29">
        <f>IF(E119&lt;&gt;"",SUBTOTAL(103,E$22:E119),"")</f>
        <v>98</v>
      </c>
      <c r="D119" s="30" t="s">
        <v>44</v>
      </c>
      <c r="E119" s="31" t="s">
        <v>259</v>
      </c>
      <c r="F119" s="32" t="s">
        <v>260</v>
      </c>
      <c r="G119" s="33" t="s">
        <v>46</v>
      </c>
      <c r="H119" s="33" t="s">
        <v>47</v>
      </c>
      <c r="I119" s="34" t="s">
        <v>94</v>
      </c>
      <c r="J119" s="35" t="str">
        <f>+IFERROR(VLOOKUP(E119,[1]Sheet1!C:H,6,0),"")</f>
        <v>29/09/2025</v>
      </c>
      <c r="K119" s="47"/>
    </row>
    <row r="120" spans="3:11" ht="28.5" customHeight="1" x14ac:dyDescent="0.3">
      <c r="C120" s="29">
        <f>IF(E120&lt;&gt;"",SUBTOTAL(103,E$22:E120),"")</f>
        <v>99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3:11" ht="28.5" customHeight="1" x14ac:dyDescent="0.3">
      <c r="C121" s="29">
        <f>IF(E121&lt;&gt;"",SUBTOTAL(103,E$22:E121),"")</f>
        <v>100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3:11" ht="28.5" customHeight="1" x14ac:dyDescent="0.3">
      <c r="C122" s="29">
        <f>IF(E122&lt;&gt;"",SUBTOTAL(103,E$22:E122),"")</f>
        <v>101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3:11" ht="28.5" customHeight="1" x14ac:dyDescent="0.3">
      <c r="C123" s="29">
        <f>IF(E123&lt;&gt;"",SUBTOTAL(103,E$22:E123),"")</f>
        <v>102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3:11" ht="28.5" customHeight="1" x14ac:dyDescent="0.3">
      <c r="C124" s="29">
        <f>IF(E124&lt;&gt;"",SUBTOTAL(103,E$22:E124),"")</f>
        <v>103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3:11" ht="28.5" customHeight="1" x14ac:dyDescent="0.3">
      <c r="C125" s="29">
        <f>IF(E125&lt;&gt;"",SUBTOTAL(103,E$22:E125),"")</f>
        <v>104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3:11" ht="28.5" customHeight="1" x14ac:dyDescent="0.3">
      <c r="C126" s="29">
        <f>IF(E126&lt;&gt;"",SUBTOTAL(103,E$22:E126),"")</f>
        <v>105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3:11" ht="28.5" customHeight="1" x14ac:dyDescent="0.3">
      <c r="C127" s="29">
        <f>IF(E127&lt;&gt;"",SUBTOTAL(103,E$22:E127),"")</f>
        <v>106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3:11" ht="28.5" customHeight="1" x14ac:dyDescent="0.3">
      <c r="C128" s="29">
        <f>IF(E128&lt;&gt;"",SUBTOTAL(103,E$22:E128),"")</f>
        <v>107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customHeight="1" x14ac:dyDescent="0.3">
      <c r="C129" s="29">
        <f>IF(E129&lt;&gt;"",SUBTOTAL(103,E$22:E129),"")</f>
        <v>108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customHeight="1" x14ac:dyDescent="0.3">
      <c r="C130" s="42">
        <f>IF(E130&lt;&gt;"",SUBTOTAL(103,E$22:E130),"")</f>
        <v>109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customHeight="1" x14ac:dyDescent="0.3">
      <c r="C131" s="42">
        <f>IF(E131&lt;&gt;"",SUBTOTAL(103,E$22:E131),"")</f>
        <v>110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customHeight="1" x14ac:dyDescent="0.3">
      <c r="C132" s="42">
        <f>IF(E132&lt;&gt;"",SUBTOTAL(103,E$22:E132),"")</f>
        <v>111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customHeight="1" x14ac:dyDescent="0.3">
      <c r="C133" s="42">
        <f>IF(E133&lt;&gt;"",SUBTOTAL(103,E$22:E133),"")</f>
        <v>112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customHeight="1" x14ac:dyDescent="0.3">
      <c r="C134" s="42">
        <f>IF(E134&lt;&gt;"",SUBTOTAL(103,E$22:E134),"")</f>
        <v>113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customHeight="1" x14ac:dyDescent="0.3">
      <c r="C135" s="42">
        <f>IF(E135&lt;&gt;"",SUBTOTAL(103,E$22:E135),"")</f>
        <v>114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customHeight="1" x14ac:dyDescent="0.3">
      <c r="C136" s="42">
        <f>IF(E136&lt;&gt;"",SUBTOTAL(103,E$22:E136),"")</f>
        <v>115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customHeight="1" x14ac:dyDescent="0.3">
      <c r="C137" s="42">
        <f>IF(E137&lt;&gt;"",SUBTOTAL(103,E$22:E137),"")</f>
        <v>116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customHeight="1" x14ac:dyDescent="0.3">
      <c r="C138" s="42">
        <f>IF(E138&lt;&gt;"",SUBTOTAL(103,E$22:E138),"")</f>
        <v>117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customHeight="1" x14ac:dyDescent="0.3">
      <c r="C139" s="42">
        <f>IF(E139&lt;&gt;"",SUBTOTAL(103,E$22:E139),"")</f>
        <v>118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customHeight="1" x14ac:dyDescent="0.3">
      <c r="C140" s="42">
        <f>IF(E140&lt;&gt;"",SUBTOTAL(103,E$22:E140),"")</f>
        <v>119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customHeight="1" x14ac:dyDescent="0.3">
      <c r="C141" s="42">
        <f>IF(E141&lt;&gt;"",SUBTOTAL(103,E$22:E141),"")</f>
        <v>120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customHeight="1" x14ac:dyDescent="0.3">
      <c r="C142" s="42">
        <f>IF(E142&lt;&gt;"",SUBTOTAL(103,E$22:E142),"")</f>
        <v>121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FL142" xr:uid="{C3D77B87-320E-4CAC-BE20-C9B51A590042}"/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2026-04-28T02:37:08Z</dcterms:modified>
</cp:coreProperties>
</file>